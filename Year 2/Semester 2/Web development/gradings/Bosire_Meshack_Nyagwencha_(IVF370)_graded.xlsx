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filterPrivacy="1" defaultThemeVersion="124226"/>
  <xr:revisionPtr revIDLastSave="0" documentId="13_ncr:1_{39E1B760-E661-4348-AC03-8A92BF618141}" xr6:coauthVersionLast="47" xr6:coauthVersionMax="47" xr10:uidLastSave="{00000000-0000-0000-0000-000000000000}"/>
  <bookViews>
    <workbookView xWindow="-120" yWindow="-120" windowWidth="29040" windowHeight="15720" activeTab="1" xr2:uid="{00000000-000D-0000-FFFF-FFFF00000000}"/>
  </bookViews>
  <sheets>
    <sheet name="Cover" sheetId="2" r:id="rId1"/>
    <sheet name="SuccessCriteria" sheetId="8" r:id="rId2"/>
    <sheet name="Statistics (self check)" sheetId="10" r:id="rId3"/>
    <sheet name="Statistics (tutor)" sheetId="6" r:id="rId4"/>
    <sheet name="Ponthatárok" sheetId="9" state="hidden" r:id="rId5"/>
  </sheets>
  <definedNames>
    <definedName name="_xlnm._FilterDatabase">SuccessCriteria!$A$1:$L$48</definedName>
    <definedName name="nem_modosithato2">SuccessCriteria!$J$1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9" l="1"/>
  <c r="J3" i="9"/>
  <c r="E8" i="6"/>
  <c r="C7" i="6"/>
  <c r="D7" i="6" s="1"/>
  <c r="C6" i="6"/>
  <c r="F6" i="6" s="1"/>
  <c r="C5" i="6"/>
  <c r="F5" i="6" s="1"/>
  <c r="C4" i="6"/>
  <c r="F4" i="6" s="1"/>
  <c r="C3" i="6"/>
  <c r="F3" i="6" s="1"/>
  <c r="E8" i="10"/>
  <c r="C7" i="10"/>
  <c r="F7" i="10" s="1"/>
  <c r="C6" i="10"/>
  <c r="F6" i="10" s="1"/>
  <c r="C5" i="10"/>
  <c r="F5" i="10" s="1"/>
  <c r="C4" i="10"/>
  <c r="F4" i="10" s="1"/>
  <c r="C3" i="10"/>
  <c r="F3" i="10" s="1"/>
  <c r="K48" i="8"/>
  <c r="J48" i="8"/>
  <c r="K47" i="8"/>
  <c r="J47" i="8"/>
  <c r="K46" i="8"/>
  <c r="J46" i="8"/>
  <c r="L46" i="8" s="1"/>
  <c r="K45" i="8"/>
  <c r="J45" i="8"/>
  <c r="L45" i="8" s="1"/>
  <c r="K44" i="8"/>
  <c r="J44" i="8"/>
  <c r="L44" i="8" s="1"/>
  <c r="K43" i="8"/>
  <c r="J43" i="8"/>
  <c r="L43" i="8" s="1"/>
  <c r="K42" i="8"/>
  <c r="J42" i="8"/>
  <c r="L42" i="8" s="1"/>
  <c r="K41" i="8"/>
  <c r="J41" i="8"/>
  <c r="L41" i="8" s="1"/>
  <c r="K40" i="8"/>
  <c r="J40" i="8"/>
  <c r="K39" i="8"/>
  <c r="J39" i="8"/>
  <c r="K38" i="8"/>
  <c r="J38" i="8"/>
  <c r="L38" i="8" s="1"/>
  <c r="K37" i="8"/>
  <c r="J37" i="8"/>
  <c r="L37" i="8" s="1"/>
  <c r="K36" i="8"/>
  <c r="J36" i="8"/>
  <c r="L36" i="8" s="1"/>
  <c r="K35" i="8"/>
  <c r="J35" i="8"/>
  <c r="K34" i="8"/>
  <c r="J34" i="8"/>
  <c r="L34" i="8" s="1"/>
  <c r="K33" i="8"/>
  <c r="J33" i="8"/>
  <c r="K32" i="8"/>
  <c r="J32" i="8"/>
  <c r="L32" i="8" s="1"/>
  <c r="K31" i="8"/>
  <c r="J31" i="8"/>
  <c r="K30" i="8"/>
  <c r="J30" i="8"/>
  <c r="L30" i="8" s="1"/>
  <c r="K29" i="8"/>
  <c r="J29" i="8"/>
  <c r="L29" i="8" s="1"/>
  <c r="K28" i="8"/>
  <c r="J28" i="8"/>
  <c r="L28" i="8" s="1"/>
  <c r="K27" i="8"/>
  <c r="J27" i="8"/>
  <c r="L27" i="8" s="1"/>
  <c r="K26" i="8"/>
  <c r="J26" i="8"/>
  <c r="K25" i="8"/>
  <c r="J25" i="8"/>
  <c r="K24" i="8"/>
  <c r="J24" i="8"/>
  <c r="L24" i="8" s="1"/>
  <c r="K23" i="8"/>
  <c r="J23" i="8"/>
  <c r="K22" i="8"/>
  <c r="J22" i="8"/>
  <c r="L22" i="8" s="1"/>
  <c r="K21" i="8"/>
  <c r="J21" i="8"/>
  <c r="L21" i="8" s="1"/>
  <c r="K20" i="8"/>
  <c r="J20" i="8"/>
  <c r="L20" i="8" s="1"/>
  <c r="K19" i="8"/>
  <c r="J19" i="8"/>
  <c r="K18" i="8"/>
  <c r="J18" i="8"/>
  <c r="L18" i="8" s="1"/>
  <c r="K17" i="8"/>
  <c r="J17" i="8"/>
  <c r="L17" i="8" s="1"/>
  <c r="K16" i="8"/>
  <c r="J16" i="8"/>
  <c r="L16" i="8" s="1"/>
  <c r="K15" i="8"/>
  <c r="J15" i="8"/>
  <c r="K14" i="8"/>
  <c r="J14" i="8"/>
  <c r="L14" i="8" s="1"/>
  <c r="K13" i="8"/>
  <c r="J13" i="8"/>
  <c r="L13" i="8" s="1"/>
  <c r="K12" i="8"/>
  <c r="J12" i="8"/>
  <c r="K11" i="8"/>
  <c r="J11" i="8"/>
  <c r="L11" i="8" s="1"/>
  <c r="K10" i="8"/>
  <c r="J10" i="8"/>
  <c r="L10" i="8" s="1"/>
  <c r="K9" i="8"/>
  <c r="J9" i="8"/>
  <c r="L9" i="8" s="1"/>
  <c r="K8" i="8"/>
  <c r="J8" i="8"/>
  <c r="L8" i="8" s="1"/>
  <c r="K7" i="8"/>
  <c r="J7" i="8"/>
  <c r="K6" i="8"/>
  <c r="J6" i="8"/>
  <c r="L6" i="8" s="1"/>
  <c r="K5" i="8"/>
  <c r="J5" i="8"/>
  <c r="K4" i="8"/>
  <c r="J4" i="8"/>
  <c r="L4" i="8" s="1"/>
  <c r="A4" i="8"/>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K3" i="8"/>
  <c r="J3" i="8"/>
  <c r="L3" i="8" s="1"/>
  <c r="A3" i="8"/>
  <c r="K2" i="8"/>
  <c r="J2" i="8"/>
  <c r="D17" i="2"/>
  <c r="D14" i="2"/>
  <c r="D11" i="2"/>
  <c r="C2" i="9" s="1"/>
  <c r="D10" i="2"/>
  <c r="L33" i="8" l="1"/>
  <c r="L35" i="8"/>
  <c r="L40" i="8"/>
  <c r="L48" i="8"/>
  <c r="L25" i="8"/>
  <c r="D18" i="2"/>
  <c r="D19" i="2" s="1"/>
  <c r="L7" i="8"/>
  <c r="L15" i="8"/>
  <c r="L23" i="8"/>
  <c r="L31" i="8"/>
  <c r="L39" i="8"/>
  <c r="L47" i="8"/>
  <c r="L2" i="8"/>
  <c r="L5" i="8"/>
  <c r="L12" i="8"/>
  <c r="L19" i="8"/>
  <c r="L26" i="8"/>
  <c r="C7" i="9"/>
  <c r="C6" i="9"/>
  <c r="C5" i="9"/>
  <c r="C4" i="9"/>
  <c r="D7" i="10"/>
  <c r="D6" i="6"/>
  <c r="D15" i="2"/>
  <c r="F15" i="2" s="1"/>
  <c r="C8" i="10"/>
  <c r="F8" i="10" s="1"/>
  <c r="D3" i="10"/>
  <c r="F7" i="6"/>
  <c r="C8" i="6"/>
  <c r="F8" i="6" s="1"/>
  <c r="D3" i="6"/>
  <c r="D4" i="10"/>
  <c r="D5" i="10"/>
  <c r="D4" i="6"/>
  <c r="D6" i="10"/>
  <c r="D5" i="6"/>
  <c r="D23" i="2" l="1"/>
  <c r="D24" i="2" s="1"/>
  <c r="D8" i="6"/>
  <c r="D8" i="10"/>
</calcChain>
</file>

<file path=xl/sharedStrings.xml><?xml version="1.0" encoding="utf-8"?>
<sst xmlns="http://schemas.openxmlformats.org/spreadsheetml/2006/main" count="283" uniqueCount="122">
  <si>
    <t>Web-development course (Homepage Success Criteria list)</t>
  </si>
  <si>
    <t>Version: v2024252_v2</t>
  </si>
  <si>
    <t>Your name:</t>
  </si>
  <si>
    <t>Your Neptun code:</t>
  </si>
  <si>
    <t>Your email address:</t>
  </si>
  <si>
    <t>For testing purposes, it is worth publishing the website on a web server before submission.
However, the compressed package uploaded to Canvas, which we publish on our own web server, will be evaluated.</t>
  </si>
  <si>
    <t>List of Success Criteria</t>
  </si>
  <si>
    <t>There are highlighted principles (marked with a yellow background and bold highlighting) among the guidelines, which must be observed with special attention! To obtain a satisfactory grade, at least 50 points must be achieved. Regarding student and tutor evaluation, there can be a maximum of 15 deviations from the guidelines, in case of more than this, we cannot accept the assignment.</t>
  </si>
  <si>
    <t>Guidelines</t>
  </si>
  <si>
    <t>Number of success criteria</t>
  </si>
  <si>
    <t>Please fill out the table in Excel (installed in labs), as the processing application only works on the original XLSX files. We will not accept tables in other formats.</t>
  </si>
  <si>
    <t>Available maximum points</t>
  </si>
  <si>
    <t>Minimum points to be achieved</t>
  </si>
  <si>
    <t>Points given for the self-evaluation</t>
  </si>
  <si>
    <t>You have fulfilled every mandatory success criteria</t>
  </si>
  <si>
    <t>Achieved points according the self check</t>
  </si>
  <si>
    <t>Points given by the tutor</t>
  </si>
  <si>
    <t>It only matters if the tutor has already completed the evaluation.</t>
  </si>
  <si>
    <t>Achieved points according to tutor's review</t>
  </si>
  <si>
    <t>Achieved points including extra points or point reduction</t>
  </si>
  <si>
    <t>Points given by the tutor for the self-check correctness</t>
  </si>
  <si>
    <t xml:space="preserve">Available maximum points </t>
  </si>
  <si>
    <t xml:space="preserve">Difference between self and tutor evaluation
</t>
  </si>
  <si>
    <t>Achieved points</t>
  </si>
  <si>
    <t>The tutor has finished the review process</t>
  </si>
  <si>
    <t>Extra points or point reduction</t>
  </si>
  <si>
    <t>Remarks of the tutor (optional)</t>
  </si>
  <si>
    <t/>
  </si>
  <si>
    <t>Category</t>
  </si>
  <si>
    <t>Success Criteria</t>
  </si>
  <si>
    <t>1=True /
0 = false (self check)</t>
  </si>
  <si>
    <t>Remark of student</t>
  </si>
  <si>
    <t>1=True /
0 = false (tutor's review)</t>
  </si>
  <si>
    <t>Remark of tutor</t>
  </si>
  <si>
    <t>Mandatory Success Criteria</t>
  </si>
  <si>
    <t>Points, if succeed</t>
  </si>
  <si>
    <t>Achieved points (self check)</t>
  </si>
  <si>
    <t>Achieved points (tutor's review)</t>
  </si>
  <si>
    <t>Difference</t>
  </si>
  <si>
    <t>Critics</t>
  </si>
  <si>
    <t>Course requirement</t>
  </si>
  <si>
    <t>The website consists of at least three static HTML pages, the home page is saved as index.html. All HTML pages in the package are linked to the pages, there is no unnecessary HTML file. The pages are linked relatively, there is no reference to the root folder.</t>
  </si>
  <si>
    <t>TRUE</t>
  </si>
  <si>
    <r>
      <t xml:space="preserve">There is (at least one) page that contains a background image </t>
    </r>
    <r>
      <rPr>
        <i/>
        <sz val="11"/>
        <color theme="1"/>
        <rFont val="Calibri"/>
        <family val="2"/>
        <charset val="238"/>
        <scheme val="minor"/>
      </rPr>
      <t>(The background image does not have to be the background of the page, it can be any component.)</t>
    </r>
  </si>
  <si>
    <t>At least 5 images are inserted on the pages (in total), at least two images function as thumbnails, i.e. they link to a larger version of the image</t>
  </si>
  <si>
    <t>There is a page that has a data table that is at least 2x3, has header cells (&lt;th&gt;) and a caption (&lt;caption&gt;) that has been created as expandable content using the &lt;summary&gt; tag embedded in the &lt;details&gt; tag. The structure of the page should not be implemented using a table!</t>
  </si>
  <si>
    <t>There is a page that contains a form that contains at least one text field, one text area, at least 2 radio buttons, at least 1 checkbox, and a submit button.</t>
  </si>
  <si>
    <r>
      <t xml:space="preserve">There is a page that has JavaScript code that improves the user experience (e.g. selection from an alternative style sheet, font size change, image gallery, ...)
</t>
    </r>
    <r>
      <rPr>
        <i/>
        <sz val="11"/>
        <color theme="1"/>
        <rFont val="Calibri"/>
        <family val="2"/>
        <charset val="238"/>
        <scheme val="minor"/>
      </rPr>
      <t>Components of the Bootstrap framework are also acceptable at this point (e.g. Carousel).</t>
    </r>
  </si>
  <si>
    <t>All pages are filled with content, in addition to structural links, they also contain at least 3 external links (in total). Pages filled with Lorem ipsum, etc. filler texts are not acceptable!
Structural links are given relative to the current page...</t>
  </si>
  <si>
    <r>
      <t xml:space="preserve">There are examples of each of the following tags being used on the HTML5 page(s): &lt;header&gt;&lt;nav&gt;&lt;section&gt;&lt;article&gt;&lt;aside&gt;&lt;footer&gt;&lt;figure&gt;&lt;video&gt;.
</t>
    </r>
    <r>
      <rPr>
        <i/>
        <sz val="11"/>
        <color theme="1"/>
        <rFont val="Calibri"/>
        <family val="2"/>
        <charset val="238"/>
        <scheme val="minor"/>
      </rPr>
      <t>Tags do not have to appear on every page, but when their use is semantically justified, the appropriate tag MUST be used!</t>
    </r>
  </si>
  <si>
    <t>Page layout and visual design</t>
  </si>
  <si>
    <r>
      <t xml:space="preserve">The  website is responsive.
</t>
    </r>
    <r>
      <rPr>
        <i/>
        <sz val="11"/>
        <color theme="1"/>
        <rFont val="Calibri"/>
        <family val="2"/>
        <charset val="238"/>
        <scheme val="minor"/>
      </rPr>
      <t>In addition, it is true that for at least 1 page, at least three layouts are implemented depending on the display size (smartphone, tablet, larger display), of which the layout designed for the (smallest) display size consists of a single column, and the layout designed for the (largest) display size consists of at least two columns. Content elements (including images and videos) are sized relatively on each page.</t>
    </r>
  </si>
  <si>
    <t>Content and appearance (design) are separated appropriately with the use of external style sheets. Inline specification should be avoided unless there is a specific reason for its use!</t>
  </si>
  <si>
    <t xml:space="preserve">The pages have unique titles, and start with a keyword (eg. About me – Website of Thomas Smith)
Each page is clearly labelled with a descriptive and useful title that makes sense as a bookmark
</t>
  </si>
  <si>
    <t>The text is readable with the default font size</t>
  </si>
  <si>
    <t>At the font settings, besides concrete font types, general font families are also given; for smaller text sans-serif font type is set</t>
  </si>
  <si>
    <t>Font size is set in a way that text could be easily resized (% or em or rem)</t>
  </si>
  <si>
    <t>The navigation menu is at the top or on the left side of the page, it can be clearly distinguished from the main content</t>
  </si>
  <si>
    <t>Visited and non-visited links are different in appearance, the contrast of visited links is higher that that of non-visited links</t>
  </si>
  <si>
    <t>There should be no underlined texts that are not links</t>
  </si>
  <si>
    <r>
      <t xml:space="preserve">Links should be underlined (navigation menu and list of links might be an exemption)
</t>
    </r>
    <r>
      <rPr>
        <i/>
        <sz val="11"/>
        <color theme="1"/>
        <rFont val="Calibri"/>
        <family val="2"/>
        <charset val="238"/>
        <scheme val="minor"/>
      </rPr>
      <t>It's not enough that the underline only appears when the user hovers over the link. The underline must always be visible.</t>
    </r>
  </si>
  <si>
    <r>
      <t xml:space="preserve">Pages should be printable, the print preview should show all the important information
</t>
    </r>
    <r>
      <rPr>
        <i/>
        <sz val="11"/>
        <color indexed="8"/>
        <rFont val="Calibri"/>
        <family val="2"/>
        <charset val="238"/>
      </rPr>
      <t>Separate style sheets should be created for the screen and the printer. In the print view, elements that are repeated on every page, such as the menu, header, sidebar, etc., should be removed. Videos should be hidden and images should be scaled down. Text should fill the pages in a way that saves paper and ink.</t>
    </r>
  </si>
  <si>
    <t xml:space="preserve">Fields on forms have labels, which clearly explain what entries are desired. (&lt;label for=""&gt;)
</t>
  </si>
  <si>
    <r>
      <t xml:space="preserve">The length of text boxes on forms is set according to the expected answer
</t>
    </r>
    <r>
      <rPr>
        <i/>
        <sz val="11"/>
        <color indexed="8"/>
        <rFont val="Calibri"/>
        <family val="2"/>
        <charset val="238"/>
      </rPr>
      <t>The size of the text fields and the maximum length of the text that can be entered must also be set.</t>
    </r>
    <r>
      <rPr>
        <sz val="11"/>
        <color theme="1"/>
        <rFont val="Calibri"/>
        <family val="2"/>
        <charset val="238"/>
        <scheme val="minor"/>
      </rPr>
      <t xml:space="preserve"> </t>
    </r>
    <r>
      <rPr>
        <i/>
        <sz val="11"/>
        <color theme="1"/>
        <rFont val="Calibri"/>
        <family val="2"/>
        <charset val="238"/>
        <scheme val="minor"/>
      </rPr>
      <t>A style sheet can also be used to set the size.</t>
    </r>
  </si>
  <si>
    <t>Labels are close to the data entry fields</t>
  </si>
  <si>
    <t>The form content can be sent (emailed via post method or processed in another way)</t>
  </si>
  <si>
    <t>Radio buttons  cover all the possible answers (options should be carefully designed)</t>
  </si>
  <si>
    <t>The function of buttons in a form is clearly indicated by their label</t>
  </si>
  <si>
    <t>Content design</t>
  </si>
  <si>
    <t>Based on the scanning principle, keywords are emphasized, and if it is necessary, lists are used</t>
  </si>
  <si>
    <r>
      <t xml:space="preserve">Well formulated headings (&lt;h1&gt;…&lt;h6&gt;) structure the text on each page
</t>
    </r>
    <r>
      <rPr>
        <i/>
        <sz val="11"/>
        <color indexed="8"/>
        <rFont val="Calibri"/>
        <family val="2"/>
        <charset val="238"/>
      </rPr>
      <t>On HTML5 pages, heading levels can also be set using &lt;h1&gt; headings within nested page structure elements. If subheadings are not necessary, a single &lt;h1&gt; tag is sufficient.</t>
    </r>
  </si>
  <si>
    <r>
      <t xml:space="preserve">It is true for all pages that the headings are logically nested within each other, for example, there cannot be a heading that only plays the role of heading 2 on the page, heading 1 cannot have a subheading that plays the role of subheading 3, and so on.
</t>
    </r>
    <r>
      <rPr>
        <i/>
        <sz val="11"/>
        <color theme="1"/>
        <rFont val="Calibri"/>
        <family val="2"/>
        <charset val="238"/>
        <scheme val="minor"/>
      </rPr>
      <t>The point can only be given if at least one heading that plays the role of heading 2 occurs on one of the pages (which on an HTML5 page can also be a heading 1 that is included in an embedded page structure element)</t>
    </r>
  </si>
  <si>
    <t>The background shouldn't have a pattern that makes reading the text difficult</t>
  </si>
  <si>
    <t>Text blocks and lists are left aligned (or justified)</t>
  </si>
  <si>
    <t>A frame (poster) is cut and shown from the video, so that the user could decide whether it is worth watching the video.</t>
  </si>
  <si>
    <t>The same structural links are present on every page, in the same order</t>
  </si>
  <si>
    <t>You can return to the home page from any page using a link (e.g., the home page menu item or icon in the menu).</t>
  </si>
  <si>
    <r>
      <t xml:space="preserve">If someone arrives at a page on the website from an external site, it is clear to them which page they are on (e.g. distinguishing the current page in the menu, breadcrumb navigation, etc.)
</t>
    </r>
    <r>
      <rPr>
        <i/>
        <sz val="11"/>
        <color theme="1"/>
        <rFont val="Calibri"/>
        <family val="2"/>
        <charset val="238"/>
        <scheme val="minor"/>
      </rPr>
      <t>It is not enough to repeat the name of the menu item (for example) as a headline.</t>
    </r>
  </si>
  <si>
    <t>Accessibility</t>
  </si>
  <si>
    <t>For pictures not displayed with a design purpose, the ALT attribute is precisely filled in.  (WCAG 2.0 1.1.1)</t>
  </si>
  <si>
    <t>The link texts themselves are self-explanatory (the text "click here" is not appropriate), concise</t>
  </si>
  <si>
    <t>Texts are easily readable, contrast ratio is well-chosen (WCAG 2.0 1.4.3)</t>
  </si>
  <si>
    <t>An alternative, large-font, high-contrast style version is available for visually impaired users on all pages.</t>
  </si>
  <si>
    <r>
      <t xml:space="preserve">A mechanism is available to bypass blocks of content that are repeated on multiple Web pages. (WCAG 2.0 2.4.1)
</t>
    </r>
    <r>
      <rPr>
        <i/>
        <sz val="11"/>
        <color indexed="8"/>
        <rFont val="Calibri"/>
        <family val="2"/>
        <charset val="238"/>
      </rPr>
      <t>The link used to jump to content should be accessible to screen reader users and should not appear in visual browsers.</t>
    </r>
  </si>
  <si>
    <r>
      <t xml:space="preserve">The video includes a full text description. The description must include all the important events that can be seen or heard in the video, it is not enough to just summarize the content of the video in a few words. It is advisable to place it in a separate HTML file and link it after the video, or place it in &lt;details&gt;&lt;summary&gt; tags after the video. 
</t>
    </r>
    <r>
      <rPr>
        <i/>
        <sz val="11"/>
        <color theme="1"/>
        <rFont val="Calibri"/>
        <family val="2"/>
        <charset val="238"/>
        <scheme val="minor"/>
      </rPr>
      <t>The point can only be given if the video is at least 30 seconds long, the participants or the narrator speak for at least 15 seconds, and it does not just have a static background, i.e. it contains visual events)</t>
    </r>
  </si>
  <si>
    <t>The language of the site is set on each page. If a page has text in a language different from the default, language code is set properly.</t>
  </si>
  <si>
    <t>Testing</t>
  </si>
  <si>
    <t>Character encoding (e.g. UTF-8) is declared on every page. Special characters are correctly interpreted.</t>
  </si>
  <si>
    <t>There are no missing elements, broken links, non-working functions, error messages</t>
  </si>
  <si>
    <t>The website works functionally well with the most popular browsers (Chrome, FF, Edge) (not taking into account those HTML5 features that are not implemented in the given browser)</t>
  </si>
  <si>
    <t>At least one page is built according to the HTML5 standard and is valid according to https://validator.w3.org/</t>
  </si>
  <si>
    <t>Each submitted page is made according to the HTML5 standard and is valid according to https://validator.w3.org/</t>
  </si>
  <si>
    <r>
      <t xml:space="preserve">You have custom CSS files that contain at least 15 rules. The CSS files are valid according to jigsaw.w3.org/css-validator/.
</t>
    </r>
    <r>
      <rPr>
        <i/>
        <sz val="11"/>
        <color theme="1"/>
        <rFont val="Calibri"/>
        <family val="2"/>
        <charset val="238"/>
        <scheme val="minor"/>
      </rPr>
      <t>If the Bootstrap framework is used, custom styles are properly separated from Bootstrap style files.</t>
    </r>
  </si>
  <si>
    <t>Statistics (self-check)</t>
  </si>
  <si>
    <t>succeded</t>
  </si>
  <si>
    <t>not succeded</t>
  </si>
  <si>
    <t>sum</t>
  </si>
  <si>
    <t>ratio</t>
  </si>
  <si>
    <t>Summary</t>
  </si>
  <si>
    <t>Statistics (tutor's review)</t>
  </si>
  <si>
    <t>Az űrlapot Abonyi-Tóth Andor (ELTE IK) készítette</t>
  </si>
  <si>
    <t>Honlap irányelvek</t>
  </si>
  <si>
    <t>insufficient</t>
  </si>
  <si>
    <t>sufficient</t>
  </si>
  <si>
    <t>average</t>
  </si>
  <si>
    <t>good</t>
  </si>
  <si>
    <t>excellent</t>
  </si>
  <si>
    <t>Missing summary, details and caption.</t>
  </si>
  <si>
    <t>Explore.html</t>
  </si>
  <si>
    <t>explore.html, index.html</t>
  </si>
  <si>
    <t>Missing aside.</t>
  </si>
  <si>
    <t>Pixels in the css.</t>
  </si>
  <si>
    <t>Form action is not valid (must be a valid email address for mailto: links)</t>
  </si>
  <si>
    <t>Homepage is accessible from every page.</t>
  </si>
  <si>
    <t>Current page is clearly indicated on every page.</t>
  </si>
  <si>
    <t>ALT attribute is properly filled out for each image.</t>
  </si>
  <si>
    <t>Appropriate contrast ratio is ensured for all text.</t>
  </si>
  <si>
    <t>No description for the video.</t>
  </si>
  <si>
    <t>Language setting is missing in the following files: {{files}}</t>
  </si>
  <si>
    <t>Index.html, blog.html</t>
  </si>
  <si>
    <t>Custom.css</t>
  </si>
  <si>
    <t>Not using only CSS, HTML and Bootstrap.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</si>
</sst>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_ ;\-#,##0\ "/>
  </numFmts>
  <fonts count="33" x14ac:knownFonts="1">
    <font>
      <sz val="11"/>
      <color theme="1"/>
      <name val="Calibri"/>
      <family val="2"/>
      <scheme val="minor"/>
    </font>
    <font>
      <sz val="11"/>
      <color theme="1"/>
      <name val="Calibri"/>
      <family val="2"/>
      <charset val="238"/>
      <scheme val="minor"/>
    </font>
    <font>
      <sz val="11"/>
      <color theme="0"/>
      <name val="Calibri"/>
      <family val="2"/>
      <charset val="238"/>
      <scheme val="minor"/>
    </font>
    <font>
      <b/>
      <sz val="14"/>
      <color theme="0"/>
      <name val="Calibri"/>
      <family val="2"/>
      <charset val="238"/>
      <scheme val="minor"/>
    </font>
    <font>
      <b/>
      <i/>
      <sz val="11"/>
      <color theme="1"/>
      <name val="Calibri"/>
      <family val="2"/>
      <charset val="238"/>
      <scheme val="minor"/>
    </font>
    <font>
      <sz val="11"/>
      <color theme="1"/>
      <name val="Calibri"/>
      <family val="2"/>
      <charset val="238"/>
      <scheme val="minor"/>
    </font>
    <font>
      <sz val="16"/>
      <color theme="1"/>
      <name val="Arial"/>
      <family val="2"/>
      <charset val="238"/>
    </font>
    <font>
      <sz val="18"/>
      <color theme="1"/>
      <name val="Arial"/>
      <family val="2"/>
      <charset val="238"/>
    </font>
    <font>
      <sz val="18"/>
      <color theme="1"/>
      <name val="Calibri"/>
      <family val="2"/>
      <charset val="238"/>
      <scheme val="minor"/>
    </font>
    <font>
      <b/>
      <sz val="11"/>
      <color theme="0"/>
      <name val="Calibri"/>
      <family val="2"/>
      <charset val="238"/>
      <scheme val="minor"/>
    </font>
    <font>
      <u/>
      <sz val="20"/>
      <color theme="10"/>
      <name val="Calibri"/>
      <family val="2"/>
      <charset val="238"/>
    </font>
    <font>
      <b/>
      <sz val="11"/>
      <color theme="1"/>
      <name val="Calibri"/>
      <family val="2"/>
      <charset val="238"/>
      <scheme val="minor"/>
    </font>
    <font>
      <b/>
      <i/>
      <sz val="11"/>
      <color rgb="FFFF0000"/>
      <name val="Calibri"/>
      <family val="2"/>
      <charset val="238"/>
      <scheme val="minor"/>
    </font>
    <font>
      <b/>
      <sz val="11"/>
      <color rgb="FFFF0000"/>
      <name val="Calibri"/>
      <family val="2"/>
      <charset val="238"/>
      <scheme val="minor"/>
    </font>
    <font>
      <b/>
      <sz val="11"/>
      <color indexed="8"/>
      <name val="Calibri"/>
      <family val="2"/>
    </font>
    <font>
      <i/>
      <sz val="11"/>
      <color theme="1"/>
      <name val="Calibri"/>
      <family val="2"/>
      <charset val="238"/>
      <scheme val="minor"/>
    </font>
    <font>
      <sz val="9"/>
      <color theme="1"/>
      <name val="Calibri"/>
      <family val="2"/>
      <charset val="238"/>
      <scheme val="minor"/>
    </font>
    <font>
      <sz val="10"/>
      <color theme="1"/>
      <name val="Calibri"/>
      <family val="2"/>
      <charset val="238"/>
      <scheme val="minor"/>
    </font>
    <font>
      <i/>
      <sz val="10"/>
      <color theme="1"/>
      <name val="Calibri"/>
      <family val="2"/>
      <charset val="238"/>
      <scheme val="minor"/>
    </font>
    <font>
      <b/>
      <sz val="10"/>
      <color theme="1"/>
      <name val="Calibri"/>
      <family val="2"/>
      <charset val="238"/>
      <scheme val="minor"/>
    </font>
    <font>
      <b/>
      <sz val="10"/>
      <color theme="0"/>
      <name val="Calibri"/>
      <family val="2"/>
      <charset val="238"/>
      <scheme val="minor"/>
    </font>
    <font>
      <b/>
      <sz val="9"/>
      <color theme="0"/>
      <name val="Calibri"/>
      <family val="2"/>
      <charset val="238"/>
      <scheme val="minor"/>
    </font>
    <font>
      <b/>
      <sz val="10"/>
      <color theme="0"/>
      <name val="Arial"/>
      <family val="2"/>
      <charset val="238"/>
    </font>
    <font>
      <i/>
      <sz val="11"/>
      <name val="Calibri"/>
      <family val="2"/>
      <charset val="238"/>
      <scheme val="minor"/>
    </font>
    <font>
      <b/>
      <sz val="11"/>
      <name val="Calibri"/>
      <family val="2"/>
      <charset val="238"/>
      <scheme val="minor"/>
    </font>
    <font>
      <sz val="11"/>
      <name val="Calibri"/>
      <family val="2"/>
      <charset val="238"/>
      <scheme val="minor"/>
    </font>
    <font>
      <b/>
      <sz val="18"/>
      <color theme="1"/>
      <name val="Arial"/>
      <family val="2"/>
      <charset val="238"/>
    </font>
    <font>
      <sz val="11"/>
      <color theme="1"/>
      <name val="Arial"/>
      <family val="2"/>
      <charset val="238"/>
    </font>
    <font>
      <sz val="10"/>
      <color theme="1"/>
      <name val="Arial"/>
      <family val="2"/>
      <charset val="238"/>
    </font>
    <font>
      <b/>
      <sz val="10"/>
      <color theme="1"/>
      <name val="Arial"/>
      <family val="2"/>
      <charset val="238"/>
    </font>
    <font>
      <i/>
      <sz val="10"/>
      <color theme="1"/>
      <name val="Arial"/>
      <family val="2"/>
      <charset val="238"/>
    </font>
    <font>
      <sz val="8"/>
      <color theme="1"/>
      <name val="Arial"/>
      <family val="2"/>
      <charset val="238"/>
    </font>
    <font>
      <i/>
      <sz val="11"/>
      <color indexed="8"/>
      <name val="Calibri"/>
      <family val="2"/>
      <charset val="238"/>
    </font>
  </fonts>
  <fills count="18">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CC"/>
        <bgColor indexed="64"/>
      </patternFill>
    </fill>
    <fill>
      <patternFill patternType="solid">
        <fgColor indexed="22"/>
        <bgColor indexed="31"/>
      </patternFill>
    </fill>
    <fill>
      <patternFill patternType="solid">
        <fgColor rgb="FFFFC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2" tint="-9.9978637043366805E-2"/>
        <bgColor indexed="64"/>
      </patternFill>
    </fill>
    <fill>
      <patternFill patternType="solid">
        <fgColor rgb="FFE6F3FF"/>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rgb="FFFFFF00"/>
        <bgColor indexed="64"/>
      </patternFill>
    </fill>
  </fills>
  <borders count="26">
    <border>
      <left/>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26">
    <xf numFmtId="0" fontId="0" fillId="0" borderId="0" xfId="0"/>
    <xf numFmtId="0" fontId="2" fillId="2" borderId="0" xfId="0" applyFont="1" applyFill="1"/>
    <xf numFmtId="0" fontId="4" fillId="0" borderId="0" xfId="0" applyFont="1"/>
    <xf numFmtId="0" fontId="5" fillId="2" borderId="0" xfId="0" applyFont="1" applyFill="1"/>
    <xf numFmtId="0" fontId="6" fillId="0" borderId="2" xfId="0" applyFont="1" applyBorder="1"/>
    <xf numFmtId="0" fontId="5" fillId="5" borderId="0" xfId="0" applyFont="1" applyFill="1"/>
    <xf numFmtId="0" fontId="11" fillId="5" borderId="0" xfId="0" applyFont="1" applyFill="1"/>
    <xf numFmtId="0" fontId="5" fillId="3" borderId="4" xfId="0" applyFont="1" applyFill="1" applyBorder="1" applyAlignment="1">
      <alignment vertical="top"/>
    </xf>
    <xf numFmtId="0" fontId="5" fillId="3" borderId="4" xfId="0" applyFont="1" applyFill="1" applyBorder="1"/>
    <xf numFmtId="0" fontId="14" fillId="7" borderId="0" xfId="0" applyFont="1" applyFill="1"/>
    <xf numFmtId="0" fontId="11" fillId="8" borderId="4" xfId="0" applyFont="1" applyFill="1" applyBorder="1" applyAlignment="1">
      <alignment vertical="top"/>
    </xf>
    <xf numFmtId="0" fontId="5" fillId="5" borderId="0" xfId="0" applyFont="1" applyFill="1" applyAlignment="1">
      <alignment vertical="top"/>
    </xf>
    <xf numFmtId="0" fontId="5" fillId="3" borderId="4" xfId="0" applyFont="1" applyFill="1" applyBorder="1" applyAlignment="1">
      <alignment horizontal="center" vertical="top"/>
    </xf>
    <xf numFmtId="0" fontId="5" fillId="5" borderId="0" xfId="0" applyFont="1" applyFill="1" applyAlignment="1" applyProtection="1">
      <alignment vertical="top"/>
      <protection locked="0"/>
    </xf>
    <xf numFmtId="0" fontId="5" fillId="2" borderId="0" xfId="0" applyFont="1" applyFill="1" applyAlignment="1">
      <alignment vertical="top"/>
    </xf>
    <xf numFmtId="0" fontId="5" fillId="9" borderId="4" xfId="0" applyFont="1" applyFill="1" applyBorder="1"/>
    <xf numFmtId="0" fontId="16" fillId="0" borderId="0" xfId="0" applyFont="1" applyAlignment="1">
      <alignment wrapText="1"/>
    </xf>
    <xf numFmtId="0" fontId="5" fillId="0" borderId="0" xfId="0" applyFont="1" applyAlignment="1">
      <alignment wrapText="1"/>
    </xf>
    <xf numFmtId="0" fontId="17" fillId="0" borderId="0" xfId="0" applyFont="1" applyAlignment="1" applyProtection="1">
      <alignment horizontal="left"/>
      <protection locked="0"/>
    </xf>
    <xf numFmtId="0" fontId="15" fillId="0" borderId="0" xfId="0" applyFont="1" applyAlignment="1" applyProtection="1">
      <alignment wrapText="1"/>
      <protection locked="0"/>
    </xf>
    <xf numFmtId="0" fontId="18" fillId="0" borderId="0" xfId="0" applyFont="1" applyAlignment="1" applyProtection="1">
      <alignment horizontal="left" wrapText="1"/>
      <protection locked="0"/>
    </xf>
    <xf numFmtId="0" fontId="17" fillId="0" borderId="0" xfId="0" applyFont="1" applyAlignment="1">
      <alignment horizontal="left"/>
    </xf>
    <xf numFmtId="0" fontId="19" fillId="0" borderId="0" xfId="0" applyFont="1"/>
    <xf numFmtId="0" fontId="20" fillId="10" borderId="4" xfId="0" applyFont="1" applyFill="1" applyBorder="1"/>
    <xf numFmtId="0" fontId="21" fillId="10" borderId="15" xfId="0" applyFont="1" applyFill="1" applyBorder="1" applyAlignment="1">
      <alignment wrapText="1"/>
    </xf>
    <xf numFmtId="0" fontId="20" fillId="10" borderId="16" xfId="0" applyFont="1" applyFill="1" applyBorder="1" applyAlignment="1">
      <alignment wrapText="1"/>
    </xf>
    <xf numFmtId="0" fontId="22" fillId="10" borderId="4" xfId="0" applyFont="1" applyFill="1" applyBorder="1" applyAlignment="1">
      <alignment wrapText="1"/>
    </xf>
    <xf numFmtId="0" fontId="20" fillId="10" borderId="16" xfId="0" applyFont="1" applyFill="1" applyBorder="1" applyAlignment="1">
      <alignment horizontal="left" wrapText="1"/>
    </xf>
    <xf numFmtId="0" fontId="20" fillId="10" borderId="14" xfId="0" applyFont="1" applyFill="1" applyBorder="1" applyAlignment="1">
      <alignment wrapText="1"/>
    </xf>
    <xf numFmtId="0" fontId="19" fillId="0" borderId="0" xfId="0" applyFont="1" applyAlignment="1">
      <alignment horizontal="right" vertical="top"/>
    </xf>
    <xf numFmtId="0" fontId="11" fillId="0" borderId="0" xfId="0" applyFont="1"/>
    <xf numFmtId="0" fontId="11" fillId="9" borderId="4" xfId="0" applyFont="1" applyFill="1" applyBorder="1"/>
    <xf numFmtId="0" fontId="16" fillId="11" borderId="14" xfId="0" applyFont="1" applyFill="1" applyBorder="1" applyAlignment="1">
      <alignment wrapText="1"/>
    </xf>
    <xf numFmtId="0" fontId="5" fillId="0" borderId="12" xfId="0" applyFont="1" applyBorder="1" applyAlignment="1">
      <alignment wrapText="1"/>
    </xf>
    <xf numFmtId="0" fontId="17" fillId="3" borderId="17" xfId="0" applyFont="1" applyFill="1" applyBorder="1" applyAlignment="1">
      <alignment horizontal="left" vertical="top"/>
    </xf>
    <xf numFmtId="0" fontId="15" fillId="0" borderId="17" xfId="0" applyFont="1" applyBorder="1" applyAlignment="1" applyProtection="1">
      <alignment wrapText="1"/>
      <protection locked="0"/>
    </xf>
    <xf numFmtId="49" fontId="23" fillId="0" borderId="17" xfId="0" applyNumberFormat="1" applyFont="1" applyBorder="1" applyAlignment="1">
      <alignment wrapText="1"/>
    </xf>
    <xf numFmtId="0" fontId="17" fillId="0" borderId="17" xfId="0" applyFont="1" applyBorder="1" applyAlignment="1">
      <alignment horizontal="left"/>
    </xf>
    <xf numFmtId="0" fontId="5" fillId="0" borderId="17" xfId="0" applyFont="1" applyBorder="1"/>
    <xf numFmtId="0" fontId="11" fillId="0" borderId="17" xfId="0" applyFont="1" applyBorder="1"/>
    <xf numFmtId="0" fontId="15" fillId="12" borderId="17" xfId="0" applyFont="1" applyFill="1" applyBorder="1" applyAlignment="1" applyProtection="1">
      <alignment wrapText="1"/>
      <protection locked="0"/>
    </xf>
    <xf numFmtId="0" fontId="5" fillId="0" borderId="14" xfId="0" applyFont="1" applyBorder="1" applyAlignment="1">
      <alignment wrapText="1"/>
    </xf>
    <xf numFmtId="0" fontId="15" fillId="0" borderId="4" xfId="0" applyFont="1" applyBorder="1" applyAlignment="1">
      <alignment wrapText="1"/>
    </xf>
    <xf numFmtId="49" fontId="23" fillId="0" borderId="4" xfId="0" applyNumberFormat="1" applyFont="1" applyBorder="1" applyAlignment="1">
      <alignment wrapText="1"/>
    </xf>
    <xf numFmtId="0" fontId="5" fillId="0" borderId="4" xfId="0" applyFont="1" applyBorder="1"/>
    <xf numFmtId="0" fontId="5" fillId="0" borderId="4" xfId="0" applyFont="1" applyBorder="1" applyAlignment="1">
      <alignment wrapText="1"/>
    </xf>
    <xf numFmtId="164" fontId="11" fillId="0" borderId="0" xfId="0" applyNumberFormat="1" applyFont="1"/>
    <xf numFmtId="0" fontId="24" fillId="0" borderId="0" xfId="0" applyFont="1" applyAlignment="1">
      <alignment vertical="top"/>
    </xf>
    <xf numFmtId="0" fontId="11" fillId="0" borderId="18" xfId="0" applyFont="1" applyBorder="1"/>
    <xf numFmtId="0" fontId="11" fillId="9" borderId="19" xfId="0" applyFont="1" applyFill="1" applyBorder="1"/>
    <xf numFmtId="0" fontId="16" fillId="11" borderId="20" xfId="0" applyFont="1" applyFill="1" applyBorder="1" applyAlignment="1">
      <alignment wrapText="1"/>
    </xf>
    <xf numFmtId="0" fontId="5" fillId="0" borderId="19" xfId="0" applyFont="1" applyBorder="1" applyAlignment="1">
      <alignment wrapText="1"/>
    </xf>
    <xf numFmtId="0" fontId="17" fillId="3" borderId="21" xfId="0" applyFont="1" applyFill="1" applyBorder="1" applyAlignment="1">
      <alignment horizontal="left" vertical="top"/>
    </xf>
    <xf numFmtId="0" fontId="15" fillId="0" borderId="19" xfId="0" applyFont="1" applyBorder="1" applyAlignment="1" applyProtection="1">
      <alignment wrapText="1"/>
      <protection locked="0"/>
    </xf>
    <xf numFmtId="49" fontId="23" fillId="0" borderId="19" xfId="0" applyNumberFormat="1" applyFont="1" applyBorder="1" applyAlignment="1">
      <alignment wrapText="1"/>
    </xf>
    <xf numFmtId="0" fontId="17" fillId="0" borderId="21" xfId="0" applyFont="1" applyBorder="1" applyAlignment="1">
      <alignment horizontal="left"/>
    </xf>
    <xf numFmtId="0" fontId="5" fillId="0" borderId="19" xfId="0" applyFont="1" applyBorder="1"/>
    <xf numFmtId="0" fontId="5" fillId="0" borderId="21" xfId="0" applyFont="1" applyBorder="1"/>
    <xf numFmtId="0" fontId="11" fillId="0" borderId="21" xfId="0" applyFont="1" applyBorder="1"/>
    <xf numFmtId="0" fontId="11" fillId="9" borderId="17" xfId="0" applyFont="1" applyFill="1" applyBorder="1"/>
    <xf numFmtId="0" fontId="16" fillId="13" borderId="12" xfId="0" applyFont="1" applyFill="1" applyBorder="1" applyAlignment="1">
      <alignment wrapText="1"/>
    </xf>
    <xf numFmtId="0" fontId="5" fillId="0" borderId="17" xfId="0" applyFont="1" applyBorder="1" applyAlignment="1">
      <alignment wrapText="1"/>
    </xf>
    <xf numFmtId="0" fontId="17" fillId="0" borderId="4" xfId="0" applyFont="1" applyBorder="1" applyAlignment="1">
      <alignment horizontal="left"/>
    </xf>
    <xf numFmtId="0" fontId="5" fillId="0" borderId="18" xfId="0" applyFont="1" applyBorder="1"/>
    <xf numFmtId="0" fontId="16" fillId="13" borderId="22" xfId="0" applyFont="1" applyFill="1" applyBorder="1" applyAlignment="1">
      <alignment wrapText="1"/>
    </xf>
    <xf numFmtId="0" fontId="17" fillId="0" borderId="19" xfId="0" applyFont="1" applyBorder="1" applyAlignment="1">
      <alignment horizontal="left"/>
    </xf>
    <xf numFmtId="0" fontId="16" fillId="14" borderId="12" xfId="0" applyFont="1" applyFill="1" applyBorder="1" applyAlignment="1">
      <alignment wrapText="1"/>
    </xf>
    <xf numFmtId="0" fontId="5" fillId="3" borderId="4" xfId="0" applyFont="1" applyFill="1" applyBorder="1" applyAlignment="1">
      <alignment wrapText="1"/>
    </xf>
    <xf numFmtId="0" fontId="16" fillId="14" borderId="22" xfId="0" applyFont="1" applyFill="1" applyBorder="1" applyAlignment="1">
      <alignment wrapText="1"/>
    </xf>
    <xf numFmtId="0" fontId="16" fillId="4" borderId="12" xfId="0" applyFont="1" applyFill="1" applyBorder="1" applyAlignment="1">
      <alignment wrapText="1"/>
    </xf>
    <xf numFmtId="0" fontId="25" fillId="0" borderId="4" xfId="0" applyFont="1" applyBorder="1" applyAlignment="1">
      <alignment wrapText="1"/>
    </xf>
    <xf numFmtId="0" fontId="5" fillId="0" borderId="23" xfId="0" applyFont="1" applyBorder="1" applyAlignment="1">
      <alignment wrapText="1"/>
    </xf>
    <xf numFmtId="0" fontId="15" fillId="0" borderId="23" xfId="0" applyFont="1" applyBorder="1" applyAlignment="1" applyProtection="1">
      <alignment wrapText="1"/>
      <protection locked="0"/>
    </xf>
    <xf numFmtId="49" fontId="23" fillId="0" borderId="23" xfId="0" applyNumberFormat="1" applyFont="1" applyBorder="1" applyAlignment="1">
      <alignment wrapText="1"/>
    </xf>
    <xf numFmtId="0" fontId="17" fillId="0" borderId="23" xfId="0" applyFont="1" applyBorder="1" applyAlignment="1">
      <alignment horizontal="left"/>
    </xf>
    <xf numFmtId="0" fontId="5" fillId="0" borderId="23" xfId="0" applyFont="1" applyBorder="1"/>
    <xf numFmtId="0" fontId="16" fillId="4" borderId="22" xfId="0" applyFont="1" applyFill="1" applyBorder="1" applyAlignment="1">
      <alignment wrapText="1"/>
    </xf>
    <xf numFmtId="0" fontId="16" fillId="15" borderId="12" xfId="0" applyFont="1" applyFill="1" applyBorder="1" applyAlignment="1">
      <alignment wrapText="1"/>
    </xf>
    <xf numFmtId="49" fontId="5" fillId="0" borderId="4" xfId="0" applyNumberFormat="1" applyFont="1" applyBorder="1" applyAlignment="1">
      <alignment wrapText="1"/>
    </xf>
    <xf numFmtId="0" fontId="28" fillId="3" borderId="25" xfId="0" applyFont="1" applyFill="1" applyBorder="1" applyAlignment="1">
      <alignment horizontal="right"/>
    </xf>
    <xf numFmtId="0" fontId="29" fillId="3" borderId="4" xfId="0" applyFont="1" applyFill="1" applyBorder="1" applyAlignment="1">
      <alignment wrapText="1"/>
    </xf>
    <xf numFmtId="0" fontId="30" fillId="3" borderId="25" xfId="0" applyFont="1" applyFill="1" applyBorder="1" applyAlignment="1">
      <alignment horizontal="right" wrapText="1"/>
    </xf>
    <xf numFmtId="0" fontId="28" fillId="0" borderId="25" xfId="0" applyFont="1" applyBorder="1"/>
    <xf numFmtId="9" fontId="28" fillId="3" borderId="25" xfId="0" applyNumberFormat="1" applyFont="1" applyFill="1" applyBorder="1"/>
    <xf numFmtId="0" fontId="29" fillId="3" borderId="4" xfId="0" applyFont="1" applyFill="1" applyBorder="1" applyAlignment="1">
      <alignment horizontal="right"/>
    </xf>
    <xf numFmtId="0" fontId="29" fillId="3" borderId="25" xfId="0" applyFont="1" applyFill="1" applyBorder="1"/>
    <xf numFmtId="0" fontId="27" fillId="5" borderId="0" xfId="0" applyFont="1" applyFill="1"/>
    <xf numFmtId="0" fontId="31" fillId="5" borderId="0" xfId="0" applyFont="1" applyFill="1"/>
    <xf numFmtId="0" fontId="28" fillId="3" borderId="25" xfId="0" applyFont="1" applyFill="1" applyBorder="1"/>
    <xf numFmtId="0" fontId="5" fillId="16" borderId="0" xfId="0" applyFont="1" applyFill="1"/>
    <xf numFmtId="0" fontId="11" fillId="17" borderId="4" xfId="0" applyFont="1" applyFill="1" applyBorder="1"/>
    <xf numFmtId="0" fontId="5" fillId="17" borderId="4" xfId="0" applyFont="1" applyFill="1" applyBorder="1"/>
    <xf numFmtId="9" fontId="15" fillId="0" borderId="4" xfId="0" applyNumberFormat="1" applyFont="1" applyBorder="1"/>
    <xf numFmtId="165" fontId="15" fillId="0" borderId="4" xfId="0" applyNumberFormat="1" applyFont="1" applyBorder="1"/>
    <xf numFmtId="9" fontId="15" fillId="0" borderId="0" xfId="0" applyNumberFormat="1" applyFont="1"/>
    <xf numFmtId="0" fontId="5" fillId="3" borderId="4" xfId="0" applyFont="1" applyFill="1" applyBorder="1" applyAlignment="1">
      <alignment vertical="top"/>
    </xf>
    <xf numFmtId="0" fontId="5" fillId="3" borderId="13" xfId="0" applyFont="1" applyFill="1" applyBorder="1" applyAlignment="1">
      <alignment vertical="top" wrapText="1"/>
    </xf>
    <xf numFmtId="0" fontId="5" fillId="3" borderId="14" xfId="0" applyFont="1" applyFill="1" applyBorder="1" applyAlignment="1">
      <alignment vertical="top" wrapText="1"/>
    </xf>
    <xf numFmtId="0" fontId="11" fillId="5" borderId="0" xfId="0" applyFont="1" applyFill="1" applyAlignment="1">
      <alignment vertical="top" wrapText="1"/>
    </xf>
    <xf numFmtId="0" fontId="5" fillId="3" borderId="0" xfId="0" applyFont="1" applyFill="1" applyAlignment="1">
      <alignment vertical="top" wrapText="1"/>
    </xf>
    <xf numFmtId="0" fontId="15" fillId="6" borderId="4" xfId="0" applyFont="1" applyFill="1" applyBorder="1" applyAlignment="1">
      <alignment vertical="top" wrapText="1"/>
    </xf>
    <xf numFmtId="0" fontId="5" fillId="6" borderId="4" xfId="0" applyFont="1" applyFill="1" applyBorder="1" applyAlignment="1">
      <alignment vertical="top" wrapText="1"/>
    </xf>
    <xf numFmtId="0" fontId="5" fillId="3" borderId="4" xfId="0" applyFont="1" applyFill="1" applyBorder="1" applyAlignment="1">
      <alignment vertical="top" wrapText="1"/>
    </xf>
    <xf numFmtId="0" fontId="5" fillId="0" borderId="4" xfId="0" applyFont="1" applyBorder="1" applyAlignment="1">
      <alignment vertical="top"/>
    </xf>
    <xf numFmtId="0" fontId="15" fillId="6" borderId="5" xfId="0" applyFont="1" applyFill="1" applyBorder="1" applyAlignment="1">
      <alignment vertical="top" wrapText="1"/>
    </xf>
    <xf numFmtId="0" fontId="15" fillId="6" borderId="6" xfId="0" applyFont="1" applyFill="1" applyBorder="1" applyAlignment="1">
      <alignment vertical="top" wrapText="1"/>
    </xf>
    <xf numFmtId="0" fontId="15" fillId="6" borderId="7" xfId="0" applyFont="1" applyFill="1" applyBorder="1" applyAlignment="1">
      <alignment vertical="top" wrapText="1"/>
    </xf>
    <xf numFmtId="0" fontId="15" fillId="6" borderId="8" xfId="0" applyFont="1" applyFill="1" applyBorder="1" applyAlignment="1">
      <alignment vertical="top" wrapText="1"/>
    </xf>
    <xf numFmtId="0" fontId="15" fillId="6" borderId="0" xfId="0" applyFont="1" applyFill="1" applyAlignment="1">
      <alignment vertical="top" wrapText="1"/>
    </xf>
    <xf numFmtId="0" fontId="15" fillId="6" borderId="9" xfId="0" applyFont="1" applyFill="1" applyBorder="1" applyAlignment="1">
      <alignment vertical="top" wrapText="1"/>
    </xf>
    <xf numFmtId="0" fontId="15" fillId="6" borderId="10" xfId="0" applyFont="1" applyFill="1" applyBorder="1" applyAlignment="1">
      <alignment vertical="top" wrapText="1"/>
    </xf>
    <xf numFmtId="0" fontId="15" fillId="6" borderId="11" xfId="0" applyFont="1" applyFill="1" applyBorder="1" applyAlignment="1">
      <alignment vertical="top" wrapText="1"/>
    </xf>
    <xf numFmtId="0" fontId="15" fillId="6" borderId="12" xfId="0" applyFont="1" applyFill="1" applyBorder="1" applyAlignment="1">
      <alignment vertical="top" wrapText="1"/>
    </xf>
    <xf numFmtId="0" fontId="10" fillId="3" borderId="0" xfId="0" applyFont="1" applyFill="1" applyAlignment="1">
      <alignment horizontal="center" vertical="center"/>
    </xf>
    <xf numFmtId="0" fontId="10" fillId="0" borderId="0" xfId="0" applyFont="1" applyAlignment="1">
      <alignment horizontal="center" vertical="center"/>
    </xf>
    <xf numFmtId="0" fontId="5" fillId="4" borderId="0" xfId="0" applyFont="1" applyFill="1" applyAlignment="1">
      <alignment horizontal="center" wrapText="1"/>
    </xf>
    <xf numFmtId="0" fontId="5" fillId="4" borderId="0" xfId="0" applyFont="1" applyFill="1" applyAlignment="1">
      <alignment horizontal="center"/>
    </xf>
    <xf numFmtId="0" fontId="12" fillId="6" borderId="4" xfId="0" applyFont="1" applyFill="1" applyBorder="1" applyAlignment="1">
      <alignment vertical="top" wrapText="1"/>
    </xf>
    <xf numFmtId="0" fontId="13" fillId="0" borderId="4" xfId="0" applyFont="1" applyBorder="1"/>
    <xf numFmtId="0" fontId="3" fillId="2" borderId="1" xfId="0" applyFont="1" applyFill="1" applyBorder="1" applyAlignment="1">
      <alignment horizontal="center" vertical="center"/>
    </xf>
    <xf numFmtId="0" fontId="7" fillId="0" borderId="2" xfId="0" applyFont="1" applyBorder="1" applyProtection="1">
      <protection locked="0"/>
    </xf>
    <xf numFmtId="0" fontId="8" fillId="0" borderId="2" xfId="0" applyFont="1" applyBorder="1"/>
    <xf numFmtId="0" fontId="9" fillId="2" borderId="3" xfId="0" applyFont="1" applyFill="1" applyBorder="1" applyAlignment="1">
      <alignment horizontal="center" wrapText="1"/>
    </xf>
    <xf numFmtId="0" fontId="26" fillId="3" borderId="24" xfId="0" applyFont="1" applyFill="1" applyBorder="1" applyAlignment="1">
      <alignment horizontal="center"/>
    </xf>
    <xf numFmtId="0" fontId="27" fillId="3" borderId="24" xfId="0" applyFont="1" applyFill="1" applyBorder="1"/>
    <xf numFmtId="0" fontId="1" fillId="3" borderId="0" xfId="0" applyFont="1" applyFill="1" applyAlignment="1">
      <alignment vertical="top" wrapText="1"/>
    </xf>
  </cellXfs>
  <cellStyles count="1">
    <cellStyle name="Normál" xfId="0" builtinId="0"/>
  </cellStyles>
  <dxfs count="11">
    <dxf>
      <fill>
        <patternFill patternType="solid">
          <fgColor indexed="24"/>
          <bgColor indexed="26"/>
        </patternFill>
      </fill>
    </dxf>
    <dxf>
      <fill>
        <patternFill patternType="solid">
          <fgColor indexed="24"/>
          <bgColor indexed="29"/>
        </patternFill>
      </fill>
    </dxf>
    <dxf>
      <fill>
        <patternFill patternType="solid">
          <fgColor indexed="24"/>
          <bgColor indexed="26"/>
        </patternFill>
      </fill>
    </dxf>
    <dxf>
      <fill>
        <patternFill>
          <bgColor theme="6" tint="0.59996337778862885"/>
        </patternFill>
      </fill>
    </dxf>
    <dxf>
      <fill>
        <patternFill>
          <bgColor rgb="FFFFBDBD"/>
        </patternFill>
      </fill>
    </dxf>
    <dxf>
      <fill>
        <patternFill>
          <bgColor theme="6" tint="0.59996337778862885"/>
        </patternFill>
      </fill>
    </dxf>
    <dxf>
      <fill>
        <patternFill>
          <bgColor rgb="FFFFB7B7"/>
        </patternFill>
      </fill>
    </dxf>
    <dxf>
      <font>
        <b/>
        <i/>
      </font>
      <fill>
        <patternFill>
          <fgColor indexed="64"/>
          <bgColor rgb="FFFFFF9F"/>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opLeftCell="A19" zoomScaleNormal="100" workbookViewId="0">
      <selection activeCell="B29" sqref="B29:H29"/>
    </sheetView>
  </sheetViews>
  <sheetFormatPr defaultRowHeight="14.45" customHeight="1" x14ac:dyDescent="0.25"/>
  <cols>
    <col min="1" max="1" width="4.28515625" customWidth="1"/>
    <col min="2" max="2" width="26.85546875" customWidth="1"/>
    <col min="3" max="3" width="39.85546875" customWidth="1"/>
    <col min="4" max="4" width="14.85546875" customWidth="1"/>
    <col min="5" max="5" width="4.140625" customWidth="1"/>
    <col min="6" max="6" width="40.7109375" customWidth="1"/>
    <col min="8" max="8" width="6.140625" customWidth="1"/>
    <col min="9" max="9" width="4.5703125" customWidth="1"/>
    <col min="10" max="10" width="19" customWidth="1"/>
    <col min="11" max="11" width="9.140625" customWidth="1"/>
    <col min="12" max="12" width="15.28515625" customWidth="1"/>
    <col min="13" max="17" width="9.140625" customWidth="1"/>
  </cols>
  <sheetData>
    <row r="1" spans="1:10" ht="32.25" customHeight="1" x14ac:dyDescent="0.25">
      <c r="A1" s="1"/>
      <c r="B1" s="119" t="s">
        <v>0</v>
      </c>
      <c r="C1" s="119"/>
      <c r="D1" s="119"/>
      <c r="E1" s="119"/>
      <c r="F1" s="119"/>
      <c r="G1" s="119"/>
      <c r="H1" s="119"/>
      <c r="I1" s="1"/>
      <c r="J1" s="2" t="s">
        <v>1</v>
      </c>
    </row>
    <row r="2" spans="1:10" ht="23.45" customHeight="1" x14ac:dyDescent="0.35">
      <c r="A2" s="3"/>
      <c r="B2" s="4" t="s">
        <v>2</v>
      </c>
      <c r="C2" s="120"/>
      <c r="D2" s="121"/>
      <c r="E2" s="121"/>
      <c r="F2" s="121"/>
      <c r="G2" s="121"/>
      <c r="H2" s="121"/>
      <c r="I2" s="3"/>
    </row>
    <row r="3" spans="1:10" ht="23.45" customHeight="1" x14ac:dyDescent="0.35">
      <c r="A3" s="3"/>
      <c r="B3" s="4" t="s">
        <v>3</v>
      </c>
      <c r="C3" s="120"/>
      <c r="D3" s="121"/>
      <c r="E3" s="121"/>
      <c r="F3" s="121"/>
      <c r="G3" s="121"/>
      <c r="H3" s="121"/>
      <c r="I3" s="3"/>
    </row>
    <row r="4" spans="1:10" ht="23.45" customHeight="1" x14ac:dyDescent="0.35">
      <c r="A4" s="3"/>
      <c r="B4" s="4" t="s">
        <v>4</v>
      </c>
      <c r="C4" s="120"/>
      <c r="D4" s="121"/>
      <c r="E4" s="121"/>
      <c r="F4" s="121"/>
      <c r="G4" s="121"/>
      <c r="H4" s="121"/>
      <c r="I4" s="3"/>
    </row>
    <row r="5" spans="1:10" ht="37.5" customHeight="1" x14ac:dyDescent="0.25">
      <c r="A5" s="3"/>
      <c r="B5" s="122" t="s">
        <v>5</v>
      </c>
      <c r="C5" s="122"/>
      <c r="D5" s="122"/>
      <c r="E5" s="122"/>
      <c r="F5" s="122"/>
      <c r="G5" s="122"/>
      <c r="H5" s="122"/>
      <c r="I5" s="3"/>
    </row>
    <row r="6" spans="1:10" ht="49.5" customHeight="1" x14ac:dyDescent="0.25">
      <c r="A6" s="3"/>
      <c r="B6" s="113" t="s">
        <v>6</v>
      </c>
      <c r="C6" s="114"/>
      <c r="D6" s="114"/>
      <c r="E6" s="114"/>
      <c r="F6" s="114"/>
      <c r="G6" s="114"/>
      <c r="H6" s="114"/>
      <c r="I6" s="3"/>
    </row>
    <row r="7" spans="1:10" ht="61.5" customHeight="1" x14ac:dyDescent="0.25">
      <c r="A7" s="3"/>
      <c r="B7" s="115" t="s">
        <v>7</v>
      </c>
      <c r="C7" s="116"/>
      <c r="D7" s="116"/>
      <c r="E7" s="116"/>
      <c r="F7" s="116"/>
      <c r="G7" s="116"/>
      <c r="H7" s="116"/>
      <c r="I7" s="3"/>
    </row>
    <row r="8" spans="1:10" ht="15" x14ac:dyDescent="0.25">
      <c r="A8" s="3"/>
      <c r="B8" s="5"/>
      <c r="C8" s="5"/>
      <c r="D8" s="5"/>
      <c r="E8" s="5"/>
      <c r="F8" s="5"/>
      <c r="G8" s="5"/>
      <c r="H8" s="5"/>
      <c r="I8" s="3"/>
    </row>
    <row r="9" spans="1:10" ht="15" x14ac:dyDescent="0.25">
      <c r="A9" s="3"/>
      <c r="B9" s="6" t="s">
        <v>8</v>
      </c>
      <c r="C9" s="5"/>
      <c r="D9" s="5"/>
      <c r="E9" s="5"/>
      <c r="F9" s="5"/>
      <c r="G9" s="5"/>
      <c r="H9" s="5"/>
      <c r="I9" s="3"/>
    </row>
    <row r="10" spans="1:10" ht="15" customHeight="1" x14ac:dyDescent="0.25">
      <c r="A10" s="3"/>
      <c r="B10" s="95" t="s">
        <v>9</v>
      </c>
      <c r="C10" s="95"/>
      <c r="D10" s="8">
        <f>COUNTA(SuccessCriteria!B:B)-1</f>
        <v>47</v>
      </c>
      <c r="E10" s="5"/>
      <c r="F10" s="117" t="s">
        <v>10</v>
      </c>
      <c r="G10" s="117"/>
      <c r="H10" s="117"/>
      <c r="I10" s="3"/>
    </row>
    <row r="11" spans="1:10" ht="15" x14ac:dyDescent="0.25">
      <c r="A11" s="3"/>
      <c r="B11" s="95" t="s">
        <v>11</v>
      </c>
      <c r="C11" s="95"/>
      <c r="D11" s="8">
        <f>SUM(SuccessCriteria!I:I)</f>
        <v>100</v>
      </c>
      <c r="E11" s="5"/>
      <c r="F11" s="118"/>
      <c r="G11" s="118"/>
      <c r="H11" s="118"/>
      <c r="I11" s="3"/>
    </row>
    <row r="12" spans="1:10" ht="35.450000000000003" customHeight="1" x14ac:dyDescent="0.25">
      <c r="A12" s="3"/>
      <c r="B12" s="95" t="s">
        <v>12</v>
      </c>
      <c r="C12" s="95"/>
      <c r="D12" s="8">
        <v>50</v>
      </c>
      <c r="E12" s="5"/>
      <c r="F12" s="118"/>
      <c r="G12" s="118"/>
      <c r="H12" s="118"/>
      <c r="I12" s="3"/>
    </row>
    <row r="13" spans="1:10" ht="15" x14ac:dyDescent="0.25">
      <c r="A13" s="3"/>
      <c r="B13" s="9" t="s">
        <v>13</v>
      </c>
      <c r="C13" s="6"/>
      <c r="D13" s="6"/>
      <c r="E13" s="5"/>
      <c r="F13" s="5"/>
      <c r="G13" s="5"/>
      <c r="H13" s="5"/>
      <c r="I13" s="3"/>
    </row>
    <row r="14" spans="1:10" ht="15" x14ac:dyDescent="0.25">
      <c r="A14" s="3"/>
      <c r="B14" s="95" t="s">
        <v>14</v>
      </c>
      <c r="C14" s="95"/>
      <c r="D14" s="8" t="b">
        <f>IF(COUNTIFS(SuccessCriteria!D2:D48,"=1",SuccessCriteria!H2:H48,"=igaz")=19,TRUE,FALSE)</f>
        <v>0</v>
      </c>
      <c r="E14" s="5"/>
      <c r="F14" s="5"/>
      <c r="G14" s="5"/>
      <c r="H14" s="5"/>
      <c r="I14" s="3"/>
    </row>
    <row r="15" spans="1:10" ht="57" customHeight="1" x14ac:dyDescent="0.25">
      <c r="A15" s="3"/>
      <c r="B15" s="95" t="s">
        <v>15</v>
      </c>
      <c r="C15" s="95"/>
      <c r="D15" s="10">
        <f>SUM(SuccessCriteria!J2:J48)</f>
        <v>79</v>
      </c>
      <c r="E15" s="5"/>
      <c r="F15" s="100" t="str">
        <f>CONCATENATE("If we were to evaluate the assignment independently, you would receive a ",VLOOKUP(D15,Ponthatárok!$C$3:$D$7,2,TRUE), "  grade based on your self-evaluation.")</f>
        <v>If we were to evaluate the assignment independently, you would receive a good  grade based on your self-evaluation.</v>
      </c>
      <c r="G15" s="100"/>
      <c r="H15" s="100"/>
      <c r="I15" s="3"/>
    </row>
    <row r="16" spans="1:10" ht="15.75" customHeight="1" x14ac:dyDescent="0.25">
      <c r="A16" s="3"/>
      <c r="B16" s="9" t="s">
        <v>16</v>
      </c>
      <c r="C16" s="6"/>
      <c r="D16" s="6"/>
      <c r="E16" s="5"/>
      <c r="F16" s="5"/>
      <c r="G16" s="5"/>
      <c r="H16" s="5"/>
      <c r="I16" s="3"/>
    </row>
    <row r="17" spans="1:9" ht="15.75" customHeight="1" x14ac:dyDescent="0.25">
      <c r="A17" s="3"/>
      <c r="B17" s="95" t="s">
        <v>14</v>
      </c>
      <c r="C17" s="95"/>
      <c r="D17" s="8" t="b">
        <f>IF(D26=TRUE,IF(COUNTIFS(SuccessCriteria!F2:F48,"=1",SuccessCriteria!H2:H48,"=igaz")=19,TRUE,FALSE),"No data yet.")</f>
        <v>0</v>
      </c>
      <c r="E17" s="5"/>
      <c r="F17" s="104" t="s">
        <v>17</v>
      </c>
      <c r="G17" s="105"/>
      <c r="H17" s="106"/>
      <c r="I17" s="3"/>
    </row>
    <row r="18" spans="1:9" ht="31.5" customHeight="1" x14ac:dyDescent="0.25">
      <c r="A18" s="3"/>
      <c r="B18" s="95" t="s">
        <v>18</v>
      </c>
      <c r="C18" s="95"/>
      <c r="D18" s="10">
        <f>IF(D26=TRUE,SUM(SuccessCriteria!K2:K48),"No data yet.")</f>
        <v>75</v>
      </c>
      <c r="E18" s="5"/>
      <c r="F18" s="107"/>
      <c r="G18" s="108"/>
      <c r="H18" s="109"/>
      <c r="I18" s="3"/>
    </row>
    <row r="19" spans="1:9" ht="31.5" customHeight="1" x14ac:dyDescent="0.25">
      <c r="A19" s="3"/>
      <c r="B19" s="95" t="s">
        <v>19</v>
      </c>
      <c r="C19" s="95"/>
      <c r="D19" s="10">
        <f>IF(D26=TRUE,D18+D27,"No data yet.")</f>
        <v>65</v>
      </c>
      <c r="E19" s="5"/>
      <c r="F19" s="110"/>
      <c r="G19" s="111"/>
      <c r="H19" s="112"/>
      <c r="I19" s="3"/>
    </row>
    <row r="20" spans="1:9" ht="21" customHeight="1" x14ac:dyDescent="0.25">
      <c r="A20" s="3"/>
      <c r="B20" s="9" t="s">
        <v>20</v>
      </c>
      <c r="C20" s="5"/>
      <c r="D20" s="5"/>
      <c r="E20" s="5"/>
      <c r="F20" s="5"/>
      <c r="G20" s="5"/>
      <c r="H20" s="5"/>
      <c r="I20" s="3"/>
    </row>
    <row r="21" spans="1:9" ht="15" x14ac:dyDescent="0.25">
      <c r="A21" s="3"/>
      <c r="B21" s="95" t="s">
        <v>21</v>
      </c>
      <c r="C21" s="95"/>
      <c r="D21" s="7">
        <v>20</v>
      </c>
      <c r="E21" s="5"/>
      <c r="F21" s="100" t="s">
        <v>17</v>
      </c>
      <c r="G21" s="101"/>
      <c r="H21" s="101"/>
      <c r="I21" s="3"/>
    </row>
    <row r="22" spans="1:9" ht="15" x14ac:dyDescent="0.25">
      <c r="A22" s="3"/>
      <c r="B22" s="95" t="s">
        <v>12</v>
      </c>
      <c r="C22" s="95"/>
      <c r="D22" s="7">
        <v>10</v>
      </c>
      <c r="E22" s="5"/>
      <c r="F22" s="101"/>
      <c r="G22" s="101"/>
      <c r="H22" s="101"/>
      <c r="I22" s="3"/>
    </row>
    <row r="23" spans="1:9" ht="36.75" customHeight="1" x14ac:dyDescent="0.25">
      <c r="A23" s="3"/>
      <c r="B23" s="102" t="s">
        <v>22</v>
      </c>
      <c r="C23" s="103"/>
      <c r="D23" s="7">
        <f>IF(D26=TRUE,SUM(SuccessCriteria!L2:L48),"No data yet.")</f>
        <v>5</v>
      </c>
      <c r="E23" s="5"/>
      <c r="F23" s="101"/>
      <c r="G23" s="101"/>
      <c r="H23" s="101"/>
      <c r="I23" s="3"/>
    </row>
    <row r="24" spans="1:9" ht="35.25" customHeight="1" x14ac:dyDescent="0.25">
      <c r="A24" s="3"/>
      <c r="B24" s="95" t="s">
        <v>23</v>
      </c>
      <c r="C24" s="95"/>
      <c r="D24" s="10">
        <f>IF(D26,IF(ROUNDUP(20 - 0.71*D23,0)&gt;0,ROUNDUP(20 - 0.71*D23,0),0),"No data yet.")</f>
        <v>17</v>
      </c>
      <c r="E24" s="5"/>
      <c r="F24" s="101"/>
      <c r="G24" s="101"/>
      <c r="H24" s="101"/>
      <c r="I24" s="3"/>
    </row>
    <row r="25" spans="1:9" ht="15" x14ac:dyDescent="0.25">
      <c r="A25" s="3"/>
      <c r="B25" s="11"/>
      <c r="C25" s="11"/>
      <c r="D25" s="11"/>
      <c r="E25" s="11"/>
      <c r="F25" s="11"/>
      <c r="G25" s="11"/>
      <c r="H25" s="11"/>
      <c r="I25" s="3"/>
    </row>
    <row r="26" spans="1:9" ht="20.25" customHeight="1" x14ac:dyDescent="0.25">
      <c r="A26" s="3"/>
      <c r="B26" s="95" t="s">
        <v>24</v>
      </c>
      <c r="C26" s="95"/>
      <c r="D26" s="12" t="b">
        <v>1</v>
      </c>
      <c r="E26" s="13"/>
      <c r="F26" s="13"/>
      <c r="G26" s="13"/>
      <c r="H26" s="13"/>
      <c r="I26" s="3"/>
    </row>
    <row r="27" spans="1:9" ht="48" customHeight="1" x14ac:dyDescent="0.25">
      <c r="A27" s="3"/>
      <c r="B27" s="96" t="s">
        <v>25</v>
      </c>
      <c r="C27" s="97"/>
      <c r="D27" s="12">
        <v>-10</v>
      </c>
      <c r="E27" s="13"/>
      <c r="F27" s="13"/>
      <c r="G27" s="13"/>
      <c r="H27" s="13"/>
      <c r="I27" s="3"/>
    </row>
    <row r="28" spans="1:9" ht="15" customHeight="1" x14ac:dyDescent="0.25">
      <c r="A28" s="3"/>
      <c r="B28" s="98" t="s">
        <v>26</v>
      </c>
      <c r="C28" s="98"/>
      <c r="D28" s="13"/>
      <c r="E28" s="13"/>
      <c r="F28" s="13"/>
      <c r="G28" s="13"/>
      <c r="H28" s="13"/>
      <c r="I28" s="3"/>
    </row>
    <row r="29" spans="1:9" ht="105" customHeight="1" x14ac:dyDescent="0.25">
      <c r="A29" s="3"/>
      <c r="B29" s="125" t="s">
        <v>121</v>
      </c>
      <c r="C29" s="99"/>
      <c r="D29" s="99"/>
      <c r="E29" s="99"/>
      <c r="F29" s="99"/>
      <c r="G29" s="99"/>
      <c r="H29" s="99"/>
      <c r="I29" s="3"/>
    </row>
    <row r="30" spans="1:9" ht="15" x14ac:dyDescent="0.25">
      <c r="A30" s="3"/>
      <c r="B30" s="14"/>
      <c r="C30" s="14"/>
      <c r="D30" s="14"/>
      <c r="E30" s="14"/>
      <c r="F30" s="14"/>
      <c r="G30" s="14"/>
      <c r="H30" s="14"/>
      <c r="I30" s="3"/>
    </row>
  </sheetData>
  <sheetProtection algorithmName="SHA-512" hashValue="Uw6KbL8wAz7sI9R8bHeF8gnOjfqP+0LPr7TkLt6HB0W7DA94lBvEbDxv7PAdWQvSU/rmplz1/7fKLPE/JX9wCA==" saltValue="ksXIccpBd21m8X5rT5zyoA==" spinCount="100000" sheet="1" scenarios="1" sort="0"/>
  <mergeCells count="27">
    <mergeCell ref="B1:H1"/>
    <mergeCell ref="C2:H2"/>
    <mergeCell ref="C3:H3"/>
    <mergeCell ref="C4:H4"/>
    <mergeCell ref="B5:H5"/>
    <mergeCell ref="B6:H6"/>
    <mergeCell ref="B7:H7"/>
    <mergeCell ref="B10:C10"/>
    <mergeCell ref="F10:H12"/>
    <mergeCell ref="B11:C11"/>
    <mergeCell ref="B12:C12"/>
    <mergeCell ref="B14:C14"/>
    <mergeCell ref="B15:C15"/>
    <mergeCell ref="F15:H15"/>
    <mergeCell ref="B17:C17"/>
    <mergeCell ref="F17:H19"/>
    <mergeCell ref="B18:C18"/>
    <mergeCell ref="B19:C19"/>
    <mergeCell ref="B26:C26"/>
    <mergeCell ref="B27:C27"/>
    <mergeCell ref="B28:C28"/>
    <mergeCell ref="B29:H29"/>
    <mergeCell ref="B21:C21"/>
    <mergeCell ref="F21:H24"/>
    <mergeCell ref="B22:C22"/>
    <mergeCell ref="B23:C23"/>
    <mergeCell ref="B24:C24"/>
  </mergeCells>
  <conditionalFormatting sqref="D15">
    <cfRule type="expression" dxfId="10" priority="2">
      <formula>$D$15&gt;=$D$12</formula>
    </cfRule>
  </conditionalFormatting>
  <conditionalFormatting sqref="D18:D19">
    <cfRule type="expression" dxfId="9" priority="1">
      <formula>$D$18&gt;=$D$12</formula>
    </cfRule>
  </conditionalFormatting>
  <conditionalFormatting sqref="D24">
    <cfRule type="expression" dxfId="8" priority="3">
      <formula>$D$24&gt;=$D$22</formula>
    </cfRule>
  </conditionalFormatting>
  <pageMargins left="0.7" right="0.7" top="0.75" bottom="0.75" header="0.3" footer="0.3"/>
  <pageSetup paperSize="9" orientation="portrait" useFirstPageNumber="1" horizontalDpi="4294967293"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8"/>
  <sheetViews>
    <sheetView tabSelected="1" zoomScaleNormal="100" workbookViewId="0">
      <pane ySplit="1" topLeftCell="A44" activePane="bottomLeft" state="frozen"/>
      <selection pane="bottomLeft" activeCell="F48" sqref="F48"/>
    </sheetView>
  </sheetViews>
  <sheetFormatPr defaultRowHeight="14.45" customHeight="1" x14ac:dyDescent="0.25"/>
  <cols>
    <col min="1" max="1" width="3.140625" style="15" customWidth="1"/>
    <col min="2" max="2" width="15.85546875" style="16" customWidth="1"/>
    <col min="3" max="3" width="54.140625" style="17" customWidth="1"/>
    <col min="4" max="4" width="11.42578125" style="18" customWidth="1"/>
    <col min="5" max="5" width="24.7109375" style="19" customWidth="1"/>
    <col min="6" max="6" width="10.5703125" style="20" customWidth="1"/>
    <col min="7" max="7" width="22.42578125" style="19" customWidth="1"/>
    <col min="8" max="8" width="9.85546875" style="21" customWidth="1"/>
    <col min="9" max="10" width="9.140625" customWidth="1"/>
    <col min="11" max="13" width="10.85546875" customWidth="1"/>
    <col min="14" max="14" width="9.7109375" customWidth="1"/>
  </cols>
  <sheetData>
    <row r="1" spans="1:14" s="22" customFormat="1" ht="84" customHeight="1" x14ac:dyDescent="0.2">
      <c r="A1" s="23"/>
      <c r="B1" s="24" t="s">
        <v>28</v>
      </c>
      <c r="C1" s="25" t="s">
        <v>29</v>
      </c>
      <c r="D1" s="26" t="s">
        <v>30</v>
      </c>
      <c r="E1" s="25" t="s">
        <v>31</v>
      </c>
      <c r="F1" s="27" t="s">
        <v>32</v>
      </c>
      <c r="G1" s="25" t="s">
        <v>33</v>
      </c>
      <c r="H1" s="27" t="s">
        <v>34</v>
      </c>
      <c r="I1" s="25" t="s">
        <v>35</v>
      </c>
      <c r="J1" s="25" t="s">
        <v>36</v>
      </c>
      <c r="K1" s="25" t="s">
        <v>37</v>
      </c>
      <c r="L1" s="28" t="s">
        <v>38</v>
      </c>
      <c r="M1" s="28" t="s">
        <v>39</v>
      </c>
      <c r="N1" s="29"/>
    </row>
    <row r="2" spans="1:14" s="30" customFormat="1" ht="72" customHeight="1" x14ac:dyDescent="0.25">
      <c r="A2" s="31">
        <v>1</v>
      </c>
      <c r="B2" s="32" t="s">
        <v>40</v>
      </c>
      <c r="C2" s="33" t="s">
        <v>41</v>
      </c>
      <c r="D2" s="34">
        <v>1</v>
      </c>
      <c r="E2" s="35"/>
      <c r="F2" s="34">
        <v>1</v>
      </c>
      <c r="G2" s="36" t="s">
        <v>27</v>
      </c>
      <c r="H2" s="37" t="s">
        <v>42</v>
      </c>
      <c r="I2" s="38">
        <v>3</v>
      </c>
      <c r="J2" s="38">
        <f>IF(D2=1,I2,IF(H2="TRUE",-5,""))</f>
        <v>3</v>
      </c>
      <c r="K2" s="39">
        <f>IF(F2=1,I2,IF(H2=TRUE,-5,""))</f>
        <v>3</v>
      </c>
      <c r="L2" s="38">
        <f>IF(J2=K2,0,1)</f>
        <v>0</v>
      </c>
      <c r="M2" s="40" t="s">
        <v>27</v>
      </c>
    </row>
    <row r="3" spans="1:14" s="30" customFormat="1" ht="43.15" customHeight="1" x14ac:dyDescent="0.25">
      <c r="A3" s="31">
        <f>A2+1</f>
        <v>2</v>
      </c>
      <c r="B3" s="32" t="s">
        <v>40</v>
      </c>
      <c r="C3" s="41" t="s">
        <v>43</v>
      </c>
      <c r="D3" s="34">
        <v>1</v>
      </c>
      <c r="E3" s="42"/>
      <c r="F3" s="34">
        <v>1</v>
      </c>
      <c r="G3" s="43" t="s">
        <v>27</v>
      </c>
      <c r="H3" s="37" t="s">
        <v>42</v>
      </c>
      <c r="I3" s="44">
        <v>2</v>
      </c>
      <c r="J3" s="38">
        <f t="shared" ref="J3:J48" si="0">IF(D3=1,I3,IF(H3="TRUE",-5,""))</f>
        <v>2</v>
      </c>
      <c r="K3" s="39">
        <f t="shared" ref="K3:K48" si="1">IF(F3=1,I3,IF(H3=TRUE,-5,""))</f>
        <v>2</v>
      </c>
      <c r="L3" s="44">
        <f t="shared" ref="L3:L48" si="2">IF(J3=K3,0,1)</f>
        <v>0</v>
      </c>
      <c r="M3" s="40" t="s">
        <v>27</v>
      </c>
    </row>
    <row r="4" spans="1:14" s="30" customFormat="1" ht="48.75" customHeight="1" x14ac:dyDescent="0.25">
      <c r="A4" s="31">
        <f t="shared" ref="A4:A48" si="3">A3+1</f>
        <v>3</v>
      </c>
      <c r="B4" s="32" t="s">
        <v>40</v>
      </c>
      <c r="C4" s="45" t="s">
        <v>44</v>
      </c>
      <c r="D4" s="34">
        <v>1</v>
      </c>
      <c r="E4" s="42"/>
      <c r="F4" s="34">
        <v>1</v>
      </c>
      <c r="G4" s="43" t="s">
        <v>27</v>
      </c>
      <c r="H4" s="37" t="s">
        <v>42</v>
      </c>
      <c r="I4" s="44">
        <v>3</v>
      </c>
      <c r="J4" s="38">
        <f t="shared" si="0"/>
        <v>3</v>
      </c>
      <c r="K4" s="39">
        <f t="shared" si="1"/>
        <v>3</v>
      </c>
      <c r="L4" s="44">
        <f t="shared" si="2"/>
        <v>0</v>
      </c>
      <c r="M4" s="40" t="s">
        <v>27</v>
      </c>
      <c r="N4" s="46"/>
    </row>
    <row r="5" spans="1:14" s="30" customFormat="1" ht="92.25" customHeight="1" x14ac:dyDescent="0.25">
      <c r="A5" s="31">
        <f t="shared" si="3"/>
        <v>4</v>
      </c>
      <c r="B5" s="32" t="s">
        <v>40</v>
      </c>
      <c r="C5" s="45" t="s">
        <v>45</v>
      </c>
      <c r="D5" s="34">
        <v>1</v>
      </c>
      <c r="E5" s="42"/>
      <c r="F5" s="34">
        <v>0</v>
      </c>
      <c r="G5" s="43" t="s">
        <v>107</v>
      </c>
      <c r="H5" s="37" t="s">
        <v>42</v>
      </c>
      <c r="I5" s="44">
        <v>3</v>
      </c>
      <c r="J5" s="38">
        <f t="shared" si="0"/>
        <v>3</v>
      </c>
      <c r="K5" s="39" t="str">
        <f t="shared" si="1"/>
        <v/>
      </c>
      <c r="L5" s="44">
        <f t="shared" si="2"/>
        <v>1</v>
      </c>
      <c r="M5" s="40" t="s">
        <v>27</v>
      </c>
      <c r="N5" s="47"/>
    </row>
    <row r="6" spans="1:14" s="30" customFormat="1" ht="43.15" customHeight="1" x14ac:dyDescent="0.25">
      <c r="A6" s="31">
        <f t="shared" si="3"/>
        <v>5</v>
      </c>
      <c r="B6" s="32" t="s">
        <v>40</v>
      </c>
      <c r="C6" s="45" t="s">
        <v>46</v>
      </c>
      <c r="D6" s="34">
        <v>1</v>
      </c>
      <c r="E6" s="42" t="s">
        <v>108</v>
      </c>
      <c r="F6" s="34">
        <v>1</v>
      </c>
      <c r="G6" s="43" t="s">
        <v>27</v>
      </c>
      <c r="H6" s="37" t="s">
        <v>42</v>
      </c>
      <c r="I6" s="44">
        <v>3</v>
      </c>
      <c r="J6" s="38">
        <f t="shared" si="0"/>
        <v>3</v>
      </c>
      <c r="K6" s="39">
        <f t="shared" si="1"/>
        <v>3</v>
      </c>
      <c r="L6" s="44">
        <f t="shared" si="2"/>
        <v>0</v>
      </c>
      <c r="M6" s="40" t="s">
        <v>27</v>
      </c>
      <c r="N6" s="47"/>
    </row>
    <row r="7" spans="1:14" s="30" customFormat="1" ht="72" customHeight="1" x14ac:dyDescent="0.25">
      <c r="A7" s="31">
        <f t="shared" si="3"/>
        <v>6</v>
      </c>
      <c r="B7" s="32" t="s">
        <v>40</v>
      </c>
      <c r="C7" s="45" t="s">
        <v>47</v>
      </c>
      <c r="D7" s="34">
        <v>1</v>
      </c>
      <c r="E7" s="42" t="s">
        <v>109</v>
      </c>
      <c r="F7" s="34">
        <v>1</v>
      </c>
      <c r="G7" s="43" t="s">
        <v>27</v>
      </c>
      <c r="H7" s="37" t="s">
        <v>42</v>
      </c>
      <c r="I7" s="44">
        <v>3</v>
      </c>
      <c r="J7" s="38">
        <f t="shared" si="0"/>
        <v>3</v>
      </c>
      <c r="K7" s="39">
        <f t="shared" si="1"/>
        <v>3</v>
      </c>
      <c r="L7" s="44">
        <f t="shared" si="2"/>
        <v>0</v>
      </c>
      <c r="M7" s="40" t="s">
        <v>27</v>
      </c>
    </row>
    <row r="8" spans="1:14" s="30" customFormat="1" ht="57.6" customHeight="1" x14ac:dyDescent="0.25">
      <c r="A8" s="31">
        <f t="shared" si="3"/>
        <v>7</v>
      </c>
      <c r="B8" s="32" t="s">
        <v>40</v>
      </c>
      <c r="C8" s="45" t="s">
        <v>48</v>
      </c>
      <c r="D8" s="34">
        <v>1</v>
      </c>
      <c r="E8" s="42"/>
      <c r="F8" s="34">
        <v>1</v>
      </c>
      <c r="G8" s="43" t="s">
        <v>27</v>
      </c>
      <c r="H8" s="37" t="s">
        <v>42</v>
      </c>
      <c r="I8" s="44">
        <v>2</v>
      </c>
      <c r="J8" s="38">
        <f t="shared" si="0"/>
        <v>2</v>
      </c>
      <c r="K8" s="39">
        <f t="shared" si="1"/>
        <v>2</v>
      </c>
      <c r="L8" s="44">
        <f t="shared" si="2"/>
        <v>0</v>
      </c>
      <c r="M8" s="40" t="s">
        <v>27</v>
      </c>
    </row>
    <row r="9" spans="1:14" s="48" customFormat="1" ht="87" customHeight="1" thickBot="1" x14ac:dyDescent="0.3">
      <c r="A9" s="49">
        <f t="shared" si="3"/>
        <v>8</v>
      </c>
      <c r="B9" s="50" t="s">
        <v>40</v>
      </c>
      <c r="C9" s="51" t="s">
        <v>49</v>
      </c>
      <c r="D9" s="52">
        <v>1</v>
      </c>
      <c r="E9" s="53"/>
      <c r="F9" s="52">
        <v>0</v>
      </c>
      <c r="G9" s="54" t="s">
        <v>110</v>
      </c>
      <c r="H9" s="55" t="s">
        <v>42</v>
      </c>
      <c r="I9" s="56">
        <v>4</v>
      </c>
      <c r="J9" s="57">
        <f t="shared" si="0"/>
        <v>4</v>
      </c>
      <c r="K9" s="58" t="str">
        <f t="shared" si="1"/>
        <v/>
      </c>
      <c r="L9" s="56">
        <f t="shared" si="2"/>
        <v>1</v>
      </c>
      <c r="M9" s="40" t="s">
        <v>27</v>
      </c>
    </row>
    <row r="10" spans="1:14" ht="139.5" customHeight="1" x14ac:dyDescent="0.25">
      <c r="A10" s="59">
        <f t="shared" si="3"/>
        <v>9</v>
      </c>
      <c r="B10" s="60" t="s">
        <v>50</v>
      </c>
      <c r="C10" s="61" t="s">
        <v>51</v>
      </c>
      <c r="D10" s="34">
        <v>1</v>
      </c>
      <c r="E10" s="35"/>
      <c r="F10" s="34">
        <v>1</v>
      </c>
      <c r="G10" s="36" t="s">
        <v>27</v>
      </c>
      <c r="H10" s="37" t="s">
        <v>42</v>
      </c>
      <c r="I10" s="38">
        <v>5</v>
      </c>
      <c r="J10" s="38">
        <f t="shared" si="0"/>
        <v>5</v>
      </c>
      <c r="K10" s="39">
        <f t="shared" si="1"/>
        <v>5</v>
      </c>
      <c r="L10" s="38">
        <f t="shared" si="2"/>
        <v>0</v>
      </c>
      <c r="M10" s="40" t="s">
        <v>27</v>
      </c>
    </row>
    <row r="11" spans="1:14" ht="63" customHeight="1" x14ac:dyDescent="0.25">
      <c r="A11" s="31">
        <f t="shared" si="3"/>
        <v>10</v>
      </c>
      <c r="B11" s="60" t="s">
        <v>50</v>
      </c>
      <c r="C11" s="45" t="s">
        <v>52</v>
      </c>
      <c r="D11" s="34">
        <v>1</v>
      </c>
      <c r="E11" s="42"/>
      <c r="F11" s="34">
        <v>1</v>
      </c>
      <c r="G11" s="43" t="s">
        <v>27</v>
      </c>
      <c r="H11" s="37" t="s">
        <v>42</v>
      </c>
      <c r="I11" s="44">
        <v>3</v>
      </c>
      <c r="J11" s="38">
        <f t="shared" si="0"/>
        <v>3</v>
      </c>
      <c r="K11" s="39">
        <f t="shared" si="1"/>
        <v>3</v>
      </c>
      <c r="L11" s="44">
        <f t="shared" si="2"/>
        <v>0</v>
      </c>
      <c r="M11" s="40" t="s">
        <v>27</v>
      </c>
    </row>
    <row r="12" spans="1:14" ht="72" customHeight="1" x14ac:dyDescent="0.25">
      <c r="A12" s="31">
        <f t="shared" si="3"/>
        <v>11</v>
      </c>
      <c r="B12" s="60" t="s">
        <v>50</v>
      </c>
      <c r="C12" s="45" t="s">
        <v>53</v>
      </c>
      <c r="D12" s="34">
        <v>1</v>
      </c>
      <c r="E12" s="42"/>
      <c r="F12" s="34">
        <v>1</v>
      </c>
      <c r="G12" s="43" t="s">
        <v>27</v>
      </c>
      <c r="H12" s="62"/>
      <c r="I12" s="44">
        <v>1</v>
      </c>
      <c r="J12" s="38">
        <f t="shared" si="0"/>
        <v>1</v>
      </c>
      <c r="K12" s="39">
        <f t="shared" si="1"/>
        <v>1</v>
      </c>
      <c r="L12" s="44">
        <f t="shared" si="2"/>
        <v>0</v>
      </c>
      <c r="M12" s="40" t="s">
        <v>27</v>
      </c>
    </row>
    <row r="13" spans="1:14" ht="22.5" customHeight="1" x14ac:dyDescent="0.25">
      <c r="A13" s="31">
        <f t="shared" si="3"/>
        <v>12</v>
      </c>
      <c r="B13" s="60" t="s">
        <v>50</v>
      </c>
      <c r="C13" s="45" t="s">
        <v>54</v>
      </c>
      <c r="D13" s="34">
        <v>1</v>
      </c>
      <c r="E13" s="42"/>
      <c r="F13" s="34">
        <v>1</v>
      </c>
      <c r="G13" s="43" t="s">
        <v>27</v>
      </c>
      <c r="H13" s="62"/>
      <c r="I13" s="44">
        <v>1</v>
      </c>
      <c r="J13" s="38">
        <f t="shared" si="0"/>
        <v>1</v>
      </c>
      <c r="K13" s="39">
        <f t="shared" si="1"/>
        <v>1</v>
      </c>
      <c r="L13" s="44">
        <f t="shared" si="2"/>
        <v>0</v>
      </c>
      <c r="M13" s="40" t="s">
        <v>27</v>
      </c>
    </row>
    <row r="14" spans="1:14" ht="60.75" customHeight="1" x14ac:dyDescent="0.25">
      <c r="A14" s="31">
        <f t="shared" si="3"/>
        <v>13</v>
      </c>
      <c r="B14" s="60" t="s">
        <v>50</v>
      </c>
      <c r="C14" s="45" t="s">
        <v>55</v>
      </c>
      <c r="D14" s="34">
        <v>1</v>
      </c>
      <c r="E14" s="42"/>
      <c r="F14" s="34">
        <v>1</v>
      </c>
      <c r="G14" s="43" t="s">
        <v>27</v>
      </c>
      <c r="H14" s="62"/>
      <c r="I14" s="44">
        <v>1</v>
      </c>
      <c r="J14" s="38">
        <f t="shared" si="0"/>
        <v>1</v>
      </c>
      <c r="K14" s="39">
        <f t="shared" si="1"/>
        <v>1</v>
      </c>
      <c r="L14" s="44">
        <f t="shared" si="2"/>
        <v>0</v>
      </c>
      <c r="M14" s="40" t="s">
        <v>27</v>
      </c>
    </row>
    <row r="15" spans="1:14" ht="28.9" customHeight="1" x14ac:dyDescent="0.25">
      <c r="A15" s="31">
        <f t="shared" si="3"/>
        <v>14</v>
      </c>
      <c r="B15" s="60" t="s">
        <v>50</v>
      </c>
      <c r="C15" s="45" t="s">
        <v>56</v>
      </c>
      <c r="D15" s="34">
        <v>1</v>
      </c>
      <c r="E15" s="42"/>
      <c r="F15" s="34">
        <v>0</v>
      </c>
      <c r="G15" s="43" t="s">
        <v>111</v>
      </c>
      <c r="H15" s="62"/>
      <c r="I15" s="44">
        <v>1</v>
      </c>
      <c r="J15" s="38">
        <f t="shared" si="0"/>
        <v>1</v>
      </c>
      <c r="K15" s="39" t="str">
        <f t="shared" si="1"/>
        <v/>
      </c>
      <c r="L15" s="44">
        <f t="shared" si="2"/>
        <v>1</v>
      </c>
      <c r="M15" s="40" t="s">
        <v>27</v>
      </c>
    </row>
    <row r="16" spans="1:14" ht="28.9" customHeight="1" x14ac:dyDescent="0.25">
      <c r="A16" s="31">
        <f t="shared" si="3"/>
        <v>15</v>
      </c>
      <c r="B16" s="60" t="s">
        <v>50</v>
      </c>
      <c r="C16" s="45" t="s">
        <v>57</v>
      </c>
      <c r="D16" s="34">
        <v>1</v>
      </c>
      <c r="E16" s="42"/>
      <c r="F16" s="34">
        <v>1</v>
      </c>
      <c r="G16" s="43" t="s">
        <v>27</v>
      </c>
      <c r="H16" s="62"/>
      <c r="I16" s="44">
        <v>1</v>
      </c>
      <c r="J16" s="38">
        <f t="shared" si="0"/>
        <v>1</v>
      </c>
      <c r="K16" s="39">
        <f t="shared" si="1"/>
        <v>1</v>
      </c>
      <c r="L16" s="44">
        <f t="shared" si="2"/>
        <v>0</v>
      </c>
      <c r="M16" s="40" t="s">
        <v>27</v>
      </c>
    </row>
    <row r="17" spans="1:13" ht="62.25" customHeight="1" x14ac:dyDescent="0.25">
      <c r="A17" s="31">
        <f t="shared" si="3"/>
        <v>16</v>
      </c>
      <c r="B17" s="60" t="s">
        <v>50</v>
      </c>
      <c r="C17" s="45" t="s">
        <v>58</v>
      </c>
      <c r="D17" s="34">
        <v>1</v>
      </c>
      <c r="E17" s="42"/>
      <c r="F17" s="34">
        <v>1</v>
      </c>
      <c r="G17" s="43" t="s">
        <v>27</v>
      </c>
      <c r="H17" s="62"/>
      <c r="I17" s="44">
        <v>1</v>
      </c>
      <c r="J17" s="38">
        <f t="shared" si="0"/>
        <v>1</v>
      </c>
      <c r="K17" s="39">
        <f t="shared" si="1"/>
        <v>1</v>
      </c>
      <c r="L17" s="44">
        <f t="shared" si="2"/>
        <v>0</v>
      </c>
      <c r="M17" s="40" t="s">
        <v>27</v>
      </c>
    </row>
    <row r="18" spans="1:13" ht="27.75" customHeight="1" x14ac:dyDescent="0.25">
      <c r="A18" s="31">
        <f t="shared" si="3"/>
        <v>17</v>
      </c>
      <c r="B18" s="60" t="s">
        <v>50</v>
      </c>
      <c r="C18" s="45" t="s">
        <v>59</v>
      </c>
      <c r="D18" s="34">
        <v>1</v>
      </c>
      <c r="E18" s="42"/>
      <c r="F18" s="34">
        <v>1</v>
      </c>
      <c r="G18" s="43" t="s">
        <v>27</v>
      </c>
      <c r="H18" s="62"/>
      <c r="I18" s="44">
        <v>1</v>
      </c>
      <c r="J18" s="38">
        <f t="shared" si="0"/>
        <v>1</v>
      </c>
      <c r="K18" s="39">
        <f t="shared" si="1"/>
        <v>1</v>
      </c>
      <c r="L18" s="44">
        <f t="shared" si="2"/>
        <v>0</v>
      </c>
      <c r="M18" s="40" t="s">
        <v>27</v>
      </c>
    </row>
    <row r="19" spans="1:13" ht="57.6" customHeight="1" x14ac:dyDescent="0.25">
      <c r="A19" s="31">
        <f t="shared" si="3"/>
        <v>18</v>
      </c>
      <c r="B19" s="60" t="s">
        <v>50</v>
      </c>
      <c r="C19" s="45" t="s">
        <v>60</v>
      </c>
      <c r="D19" s="34">
        <v>1</v>
      </c>
      <c r="E19" s="42"/>
      <c r="F19" s="34">
        <v>1</v>
      </c>
      <c r="G19" s="43" t="s">
        <v>27</v>
      </c>
      <c r="H19" s="62"/>
      <c r="I19" s="44">
        <v>1</v>
      </c>
      <c r="J19" s="38">
        <f t="shared" si="0"/>
        <v>1</v>
      </c>
      <c r="K19" s="39">
        <f t="shared" si="1"/>
        <v>1</v>
      </c>
      <c r="L19" s="44">
        <f t="shared" si="2"/>
        <v>0</v>
      </c>
      <c r="M19" s="40" t="s">
        <v>27</v>
      </c>
    </row>
    <row r="20" spans="1:13" ht="130.5" customHeight="1" x14ac:dyDescent="0.25">
      <c r="A20" s="31">
        <f t="shared" si="3"/>
        <v>19</v>
      </c>
      <c r="B20" s="60" t="s">
        <v>50</v>
      </c>
      <c r="C20" s="45" t="s">
        <v>61</v>
      </c>
      <c r="D20" s="34">
        <v>1</v>
      </c>
      <c r="E20" s="42"/>
      <c r="F20" s="34">
        <v>1</v>
      </c>
      <c r="G20" s="43" t="s">
        <v>27</v>
      </c>
      <c r="H20" s="62"/>
      <c r="I20" s="44">
        <v>3</v>
      </c>
      <c r="J20" s="38">
        <f t="shared" si="0"/>
        <v>3</v>
      </c>
      <c r="K20" s="39">
        <f t="shared" si="1"/>
        <v>3</v>
      </c>
      <c r="L20" s="44">
        <f t="shared" si="2"/>
        <v>0</v>
      </c>
      <c r="M20" s="40" t="s">
        <v>27</v>
      </c>
    </row>
    <row r="21" spans="1:13" ht="43.15" customHeight="1" x14ac:dyDescent="0.25">
      <c r="A21" s="31">
        <f t="shared" si="3"/>
        <v>20</v>
      </c>
      <c r="B21" s="60" t="s">
        <v>50</v>
      </c>
      <c r="C21" s="45" t="s">
        <v>62</v>
      </c>
      <c r="D21" s="34">
        <v>1</v>
      </c>
      <c r="E21" s="42"/>
      <c r="F21" s="34">
        <v>1</v>
      </c>
      <c r="G21" s="43" t="s">
        <v>27</v>
      </c>
      <c r="H21" s="62"/>
      <c r="I21" s="44">
        <v>3</v>
      </c>
      <c r="J21" s="38">
        <f t="shared" si="0"/>
        <v>3</v>
      </c>
      <c r="K21" s="39">
        <f t="shared" si="1"/>
        <v>3</v>
      </c>
      <c r="L21" s="44">
        <f t="shared" si="2"/>
        <v>0</v>
      </c>
      <c r="M21" s="40" t="s">
        <v>27</v>
      </c>
    </row>
    <row r="22" spans="1:13" ht="72" customHeight="1" x14ac:dyDescent="0.25">
      <c r="A22" s="31">
        <f t="shared" si="3"/>
        <v>21</v>
      </c>
      <c r="B22" s="60" t="s">
        <v>50</v>
      </c>
      <c r="C22" s="45" t="s">
        <v>63</v>
      </c>
      <c r="D22" s="34">
        <v>1</v>
      </c>
      <c r="E22" s="42"/>
      <c r="F22" s="34">
        <v>1</v>
      </c>
      <c r="G22" s="43" t="s">
        <v>27</v>
      </c>
      <c r="H22" s="62"/>
      <c r="I22" s="44">
        <v>1</v>
      </c>
      <c r="J22" s="38">
        <f t="shared" si="0"/>
        <v>1</v>
      </c>
      <c r="K22" s="39">
        <f t="shared" si="1"/>
        <v>1</v>
      </c>
      <c r="L22" s="44">
        <f t="shared" si="2"/>
        <v>0</v>
      </c>
      <c r="M22" s="40" t="s">
        <v>27</v>
      </c>
    </row>
    <row r="23" spans="1:13" ht="24.6" customHeight="1" x14ac:dyDescent="0.25">
      <c r="A23" s="31">
        <f t="shared" si="3"/>
        <v>22</v>
      </c>
      <c r="B23" s="60" t="s">
        <v>50</v>
      </c>
      <c r="C23" s="45" t="s">
        <v>64</v>
      </c>
      <c r="D23" s="34">
        <v>1</v>
      </c>
      <c r="E23" s="42"/>
      <c r="F23" s="34">
        <v>1</v>
      </c>
      <c r="G23" s="43" t="s">
        <v>27</v>
      </c>
      <c r="H23" s="62"/>
      <c r="I23" s="44">
        <v>1</v>
      </c>
      <c r="J23" s="38">
        <f t="shared" si="0"/>
        <v>1</v>
      </c>
      <c r="K23" s="39">
        <f t="shared" si="1"/>
        <v>1</v>
      </c>
      <c r="L23" s="44">
        <f t="shared" si="2"/>
        <v>0</v>
      </c>
      <c r="M23" s="40" t="s">
        <v>27</v>
      </c>
    </row>
    <row r="24" spans="1:13" ht="28.9" customHeight="1" x14ac:dyDescent="0.25">
      <c r="A24" s="31">
        <f t="shared" si="3"/>
        <v>23</v>
      </c>
      <c r="B24" s="60" t="s">
        <v>50</v>
      </c>
      <c r="C24" s="45" t="s">
        <v>65</v>
      </c>
      <c r="D24" s="34">
        <v>1</v>
      </c>
      <c r="E24" s="42"/>
      <c r="F24" s="34">
        <v>0</v>
      </c>
      <c r="G24" s="43" t="s">
        <v>112</v>
      </c>
      <c r="H24" s="62"/>
      <c r="I24" s="44">
        <v>1</v>
      </c>
      <c r="J24" s="38">
        <f t="shared" si="0"/>
        <v>1</v>
      </c>
      <c r="K24" s="39" t="str">
        <f t="shared" si="1"/>
        <v/>
      </c>
      <c r="L24" s="44">
        <f t="shared" si="2"/>
        <v>1</v>
      </c>
      <c r="M24" s="40" t="s">
        <v>27</v>
      </c>
    </row>
    <row r="25" spans="1:13" ht="30" customHeight="1" x14ac:dyDescent="0.25">
      <c r="A25" s="31">
        <f t="shared" si="3"/>
        <v>24</v>
      </c>
      <c r="B25" s="60" t="s">
        <v>50</v>
      </c>
      <c r="C25" s="45" t="s">
        <v>66</v>
      </c>
      <c r="D25" s="34">
        <v>1</v>
      </c>
      <c r="E25" s="42"/>
      <c r="F25" s="34">
        <v>1</v>
      </c>
      <c r="G25" s="43" t="s">
        <v>27</v>
      </c>
      <c r="H25" s="62"/>
      <c r="I25" s="44">
        <v>1</v>
      </c>
      <c r="J25" s="38">
        <f t="shared" si="0"/>
        <v>1</v>
      </c>
      <c r="K25" s="39">
        <f t="shared" si="1"/>
        <v>1</v>
      </c>
      <c r="L25" s="44">
        <f t="shared" si="2"/>
        <v>0</v>
      </c>
      <c r="M25" s="40" t="s">
        <v>27</v>
      </c>
    </row>
    <row r="26" spans="1:13" s="63" customFormat="1" ht="29.45" customHeight="1" thickBot="1" x14ac:dyDescent="0.3">
      <c r="A26" s="49">
        <f t="shared" si="3"/>
        <v>25</v>
      </c>
      <c r="B26" s="64" t="s">
        <v>50</v>
      </c>
      <c r="C26" s="51" t="s">
        <v>67</v>
      </c>
      <c r="D26" s="52">
        <v>1</v>
      </c>
      <c r="E26" s="53"/>
      <c r="F26" s="52">
        <v>1</v>
      </c>
      <c r="G26" s="54" t="s">
        <v>27</v>
      </c>
      <c r="H26" s="65"/>
      <c r="I26" s="56">
        <v>1</v>
      </c>
      <c r="J26" s="57">
        <f t="shared" si="0"/>
        <v>1</v>
      </c>
      <c r="K26" s="58">
        <f t="shared" si="1"/>
        <v>1</v>
      </c>
      <c r="L26" s="56">
        <f t="shared" si="2"/>
        <v>0</v>
      </c>
      <c r="M26" s="40" t="s">
        <v>27</v>
      </c>
    </row>
    <row r="27" spans="1:13" ht="28.9" customHeight="1" x14ac:dyDescent="0.25">
      <c r="A27" s="59">
        <f t="shared" si="3"/>
        <v>26</v>
      </c>
      <c r="B27" s="66" t="s">
        <v>68</v>
      </c>
      <c r="C27" s="61" t="s">
        <v>69</v>
      </c>
      <c r="D27" s="34">
        <v>1</v>
      </c>
      <c r="E27" s="35"/>
      <c r="F27" s="34">
        <v>1</v>
      </c>
      <c r="G27" s="36" t="s">
        <v>27</v>
      </c>
      <c r="H27" s="37"/>
      <c r="I27" s="38">
        <v>2</v>
      </c>
      <c r="J27" s="38">
        <f t="shared" si="0"/>
        <v>2</v>
      </c>
      <c r="K27" s="39">
        <f t="shared" si="1"/>
        <v>2</v>
      </c>
      <c r="L27" s="38">
        <f t="shared" si="2"/>
        <v>0</v>
      </c>
      <c r="M27" s="40" t="s">
        <v>27</v>
      </c>
    </row>
    <row r="28" spans="1:13" ht="94.5" customHeight="1" x14ac:dyDescent="0.25">
      <c r="A28" s="31">
        <f t="shared" si="3"/>
        <v>27</v>
      </c>
      <c r="B28" s="66" t="s">
        <v>68</v>
      </c>
      <c r="C28" s="67" t="s">
        <v>70</v>
      </c>
      <c r="D28" s="34">
        <v>1</v>
      </c>
      <c r="E28" s="42"/>
      <c r="F28" s="34">
        <v>1</v>
      </c>
      <c r="G28" s="43" t="s">
        <v>27</v>
      </c>
      <c r="H28" s="62"/>
      <c r="I28" s="44">
        <v>2</v>
      </c>
      <c r="J28" s="38">
        <f t="shared" si="0"/>
        <v>2</v>
      </c>
      <c r="K28" s="39">
        <f t="shared" si="1"/>
        <v>2</v>
      </c>
      <c r="L28" s="44">
        <f t="shared" si="2"/>
        <v>0</v>
      </c>
      <c r="M28" s="40" t="s">
        <v>27</v>
      </c>
    </row>
    <row r="29" spans="1:13" ht="129.6" customHeight="1" x14ac:dyDescent="0.25">
      <c r="A29" s="31">
        <f t="shared" si="3"/>
        <v>28</v>
      </c>
      <c r="B29" s="66" t="s">
        <v>68</v>
      </c>
      <c r="C29" s="45" t="s">
        <v>71</v>
      </c>
      <c r="D29" s="34">
        <v>1</v>
      </c>
      <c r="E29" s="42"/>
      <c r="F29" s="34">
        <v>1</v>
      </c>
      <c r="G29" s="43" t="s">
        <v>27</v>
      </c>
      <c r="H29" s="62"/>
      <c r="I29" s="44">
        <v>2</v>
      </c>
      <c r="J29" s="38">
        <f t="shared" si="0"/>
        <v>2</v>
      </c>
      <c r="K29" s="39">
        <f t="shared" si="1"/>
        <v>2</v>
      </c>
      <c r="L29" s="44">
        <f t="shared" si="2"/>
        <v>0</v>
      </c>
      <c r="M29" s="40" t="s">
        <v>27</v>
      </c>
    </row>
    <row r="30" spans="1:13" ht="28.9" customHeight="1" x14ac:dyDescent="0.25">
      <c r="A30" s="31">
        <f t="shared" si="3"/>
        <v>29</v>
      </c>
      <c r="B30" s="66" t="s">
        <v>68</v>
      </c>
      <c r="C30" s="45" t="s">
        <v>72</v>
      </c>
      <c r="D30" s="34">
        <v>1</v>
      </c>
      <c r="E30" s="42"/>
      <c r="F30" s="34">
        <v>1</v>
      </c>
      <c r="G30" s="43" t="s">
        <v>27</v>
      </c>
      <c r="H30" s="62"/>
      <c r="I30" s="44">
        <v>1</v>
      </c>
      <c r="J30" s="38">
        <f t="shared" si="0"/>
        <v>1</v>
      </c>
      <c r="K30" s="39">
        <f t="shared" si="1"/>
        <v>1</v>
      </c>
      <c r="L30" s="44">
        <f t="shared" si="2"/>
        <v>0</v>
      </c>
      <c r="M30" s="40" t="s">
        <v>27</v>
      </c>
    </row>
    <row r="31" spans="1:13" ht="15" x14ac:dyDescent="0.25">
      <c r="A31" s="31">
        <f t="shared" si="3"/>
        <v>30</v>
      </c>
      <c r="B31" s="66" t="s">
        <v>68</v>
      </c>
      <c r="C31" s="45" t="s">
        <v>73</v>
      </c>
      <c r="D31" s="34">
        <v>1</v>
      </c>
      <c r="E31" s="42"/>
      <c r="F31" s="34">
        <v>1</v>
      </c>
      <c r="G31" s="43" t="s">
        <v>27</v>
      </c>
      <c r="H31" s="62"/>
      <c r="I31" s="44">
        <v>1</v>
      </c>
      <c r="J31" s="38">
        <f t="shared" si="0"/>
        <v>1</v>
      </c>
      <c r="K31" s="39">
        <f t="shared" si="1"/>
        <v>1</v>
      </c>
      <c r="L31" s="44">
        <f t="shared" si="2"/>
        <v>0</v>
      </c>
      <c r="M31" s="40" t="s">
        <v>27</v>
      </c>
    </row>
    <row r="32" spans="1:13" ht="28.9" customHeight="1" x14ac:dyDescent="0.25">
      <c r="A32" s="31">
        <f t="shared" si="3"/>
        <v>31</v>
      </c>
      <c r="B32" s="66" t="s">
        <v>68</v>
      </c>
      <c r="C32" s="45" t="s">
        <v>74</v>
      </c>
      <c r="D32" s="34"/>
      <c r="E32" s="42"/>
      <c r="F32" s="34">
        <v>0</v>
      </c>
      <c r="G32" s="43" t="s">
        <v>27</v>
      </c>
      <c r="H32" s="62"/>
      <c r="I32" s="44">
        <v>3</v>
      </c>
      <c r="J32" s="38" t="str">
        <f t="shared" si="0"/>
        <v/>
      </c>
      <c r="K32" s="39" t="str">
        <f t="shared" si="1"/>
        <v/>
      </c>
      <c r="L32" s="44">
        <f t="shared" si="2"/>
        <v>0</v>
      </c>
      <c r="M32" s="40" t="s">
        <v>27</v>
      </c>
    </row>
    <row r="33" spans="1:13" ht="28.9" customHeight="1" x14ac:dyDescent="0.25">
      <c r="A33" s="31">
        <f t="shared" si="3"/>
        <v>32</v>
      </c>
      <c r="B33" s="66" t="s">
        <v>68</v>
      </c>
      <c r="C33" s="61" t="s">
        <v>75</v>
      </c>
      <c r="D33" s="34">
        <v>1</v>
      </c>
      <c r="E33" s="35"/>
      <c r="F33" s="34">
        <v>1</v>
      </c>
      <c r="G33" s="36" t="s">
        <v>27</v>
      </c>
      <c r="H33" s="37"/>
      <c r="I33" s="38">
        <v>1</v>
      </c>
      <c r="J33" s="38">
        <f t="shared" si="0"/>
        <v>1</v>
      </c>
      <c r="K33" s="39">
        <f t="shared" si="1"/>
        <v>1</v>
      </c>
      <c r="L33" s="38">
        <f t="shared" si="2"/>
        <v>0</v>
      </c>
      <c r="M33" s="40" t="s">
        <v>27</v>
      </c>
    </row>
    <row r="34" spans="1:13" ht="28.9" customHeight="1" x14ac:dyDescent="0.25">
      <c r="A34" s="31">
        <f t="shared" si="3"/>
        <v>33</v>
      </c>
      <c r="B34" s="66" t="s">
        <v>68</v>
      </c>
      <c r="C34" s="67" t="s">
        <v>76</v>
      </c>
      <c r="D34" s="34">
        <v>1</v>
      </c>
      <c r="E34" s="42"/>
      <c r="F34" s="34">
        <v>1</v>
      </c>
      <c r="G34" s="43" t="s">
        <v>113</v>
      </c>
      <c r="H34" s="62"/>
      <c r="I34" s="44">
        <v>1</v>
      </c>
      <c r="J34" s="38">
        <f t="shared" si="0"/>
        <v>1</v>
      </c>
      <c r="K34" s="39">
        <f t="shared" si="1"/>
        <v>1</v>
      </c>
      <c r="L34" s="44">
        <f t="shared" si="2"/>
        <v>0</v>
      </c>
      <c r="M34" s="40" t="s">
        <v>27</v>
      </c>
    </row>
    <row r="35" spans="1:13" s="63" customFormat="1" ht="87" customHeight="1" thickBot="1" x14ac:dyDescent="0.3">
      <c r="A35" s="49">
        <f t="shared" si="3"/>
        <v>34</v>
      </c>
      <c r="B35" s="68" t="s">
        <v>68</v>
      </c>
      <c r="C35" s="51" t="s">
        <v>77</v>
      </c>
      <c r="D35" s="52">
        <v>1</v>
      </c>
      <c r="E35" s="53"/>
      <c r="F35" s="52">
        <v>1</v>
      </c>
      <c r="G35" s="54" t="s">
        <v>114</v>
      </c>
      <c r="H35" s="65"/>
      <c r="I35" s="56">
        <v>2</v>
      </c>
      <c r="J35" s="57">
        <f t="shared" si="0"/>
        <v>2</v>
      </c>
      <c r="K35" s="58">
        <f t="shared" si="1"/>
        <v>2</v>
      </c>
      <c r="L35" s="56">
        <f t="shared" si="2"/>
        <v>0</v>
      </c>
      <c r="M35" s="40" t="s">
        <v>27</v>
      </c>
    </row>
    <row r="36" spans="1:13" ht="33.75" customHeight="1" x14ac:dyDescent="0.25">
      <c r="A36" s="59">
        <f t="shared" si="3"/>
        <v>35</v>
      </c>
      <c r="B36" s="69" t="s">
        <v>78</v>
      </c>
      <c r="C36" s="61" t="s">
        <v>79</v>
      </c>
      <c r="D36" s="34">
        <v>1</v>
      </c>
      <c r="E36" s="35"/>
      <c r="F36" s="34">
        <v>1</v>
      </c>
      <c r="G36" s="36" t="s">
        <v>115</v>
      </c>
      <c r="H36" s="37" t="s">
        <v>42</v>
      </c>
      <c r="I36" s="38">
        <v>4</v>
      </c>
      <c r="J36" s="38">
        <f t="shared" si="0"/>
        <v>4</v>
      </c>
      <c r="K36" s="39">
        <f t="shared" si="1"/>
        <v>4</v>
      </c>
      <c r="L36" s="38">
        <f t="shared" si="2"/>
        <v>0</v>
      </c>
      <c r="M36" s="40" t="s">
        <v>27</v>
      </c>
    </row>
    <row r="37" spans="1:13" ht="28.9" customHeight="1" x14ac:dyDescent="0.25">
      <c r="A37" s="31">
        <f t="shared" si="3"/>
        <v>36</v>
      </c>
      <c r="B37" s="69" t="s">
        <v>78</v>
      </c>
      <c r="C37" s="70" t="s">
        <v>80</v>
      </c>
      <c r="D37" s="34">
        <v>1</v>
      </c>
      <c r="E37" s="42"/>
      <c r="F37" s="34">
        <v>1</v>
      </c>
      <c r="G37" s="43" t="s">
        <v>27</v>
      </c>
      <c r="H37" s="62"/>
      <c r="I37" s="44">
        <v>1</v>
      </c>
      <c r="J37" s="38">
        <f t="shared" si="0"/>
        <v>1</v>
      </c>
      <c r="K37" s="39">
        <f t="shared" si="1"/>
        <v>1</v>
      </c>
      <c r="L37" s="44">
        <f t="shared" si="2"/>
        <v>0</v>
      </c>
      <c r="M37" s="40" t="s">
        <v>27</v>
      </c>
    </row>
    <row r="38" spans="1:13" ht="28.9" customHeight="1" x14ac:dyDescent="0.25">
      <c r="A38" s="31">
        <f t="shared" si="3"/>
        <v>37</v>
      </c>
      <c r="B38" s="69" t="s">
        <v>78</v>
      </c>
      <c r="C38" s="45" t="s">
        <v>81</v>
      </c>
      <c r="D38" s="34">
        <v>1</v>
      </c>
      <c r="E38" s="42"/>
      <c r="F38" s="34">
        <v>1</v>
      </c>
      <c r="G38" s="43" t="s">
        <v>116</v>
      </c>
      <c r="H38" s="37" t="s">
        <v>42</v>
      </c>
      <c r="I38" s="44">
        <v>2</v>
      </c>
      <c r="J38" s="38">
        <f t="shared" si="0"/>
        <v>2</v>
      </c>
      <c r="K38" s="39">
        <f t="shared" si="1"/>
        <v>2</v>
      </c>
      <c r="L38" s="44">
        <f t="shared" si="2"/>
        <v>0</v>
      </c>
      <c r="M38" s="40" t="s">
        <v>27</v>
      </c>
    </row>
    <row r="39" spans="1:13" ht="39.75" customHeight="1" x14ac:dyDescent="0.25">
      <c r="A39" s="31">
        <f t="shared" si="3"/>
        <v>38</v>
      </c>
      <c r="B39" s="69" t="s">
        <v>78</v>
      </c>
      <c r="C39" s="70" t="s">
        <v>82</v>
      </c>
      <c r="D39" s="34"/>
      <c r="E39" s="42"/>
      <c r="F39" s="34">
        <v>0</v>
      </c>
      <c r="G39" s="43" t="s">
        <v>27</v>
      </c>
      <c r="H39" s="62"/>
      <c r="I39" s="44">
        <v>5</v>
      </c>
      <c r="J39" s="38" t="str">
        <f t="shared" si="0"/>
        <v/>
      </c>
      <c r="K39" s="39" t="str">
        <f t="shared" si="1"/>
        <v/>
      </c>
      <c r="L39" s="44">
        <f t="shared" si="2"/>
        <v>0</v>
      </c>
      <c r="M39" s="40" t="s">
        <v>27</v>
      </c>
    </row>
    <row r="40" spans="1:13" ht="57.6" customHeight="1" x14ac:dyDescent="0.25">
      <c r="A40" s="31">
        <f t="shared" si="3"/>
        <v>39</v>
      </c>
      <c r="B40" s="69" t="s">
        <v>78</v>
      </c>
      <c r="C40" s="45" t="s">
        <v>83</v>
      </c>
      <c r="D40" s="34"/>
      <c r="E40" s="42"/>
      <c r="F40" s="34">
        <v>0</v>
      </c>
      <c r="G40" s="43" t="s">
        <v>27</v>
      </c>
      <c r="H40" s="37" t="s">
        <v>42</v>
      </c>
      <c r="I40" s="44">
        <v>3</v>
      </c>
      <c r="J40" s="38">
        <f t="shared" si="0"/>
        <v>-5</v>
      </c>
      <c r="K40" s="39" t="str">
        <f t="shared" si="1"/>
        <v/>
      </c>
      <c r="L40" s="44">
        <f t="shared" si="2"/>
        <v>1</v>
      </c>
      <c r="M40" s="40" t="s">
        <v>27</v>
      </c>
    </row>
    <row r="41" spans="1:13" ht="168.75" customHeight="1" x14ac:dyDescent="0.25">
      <c r="A41" s="31">
        <f t="shared" si="3"/>
        <v>40</v>
      </c>
      <c r="B41" s="69" t="s">
        <v>78</v>
      </c>
      <c r="C41" s="71" t="s">
        <v>84</v>
      </c>
      <c r="D41" s="34"/>
      <c r="E41" s="72"/>
      <c r="F41" s="34">
        <v>0</v>
      </c>
      <c r="G41" s="73" t="s">
        <v>117</v>
      </c>
      <c r="H41" s="74"/>
      <c r="I41" s="75">
        <v>5</v>
      </c>
      <c r="J41" s="38" t="str">
        <f t="shared" si="0"/>
        <v/>
      </c>
      <c r="K41" s="39" t="str">
        <f t="shared" si="1"/>
        <v/>
      </c>
      <c r="L41" s="44">
        <f t="shared" si="2"/>
        <v>0</v>
      </c>
      <c r="M41" s="40" t="s">
        <v>27</v>
      </c>
    </row>
    <row r="42" spans="1:13" s="63" customFormat="1" ht="43.9" customHeight="1" thickBot="1" x14ac:dyDescent="0.3">
      <c r="A42" s="49">
        <f t="shared" si="3"/>
        <v>41</v>
      </c>
      <c r="B42" s="76" t="s">
        <v>78</v>
      </c>
      <c r="C42" s="51" t="s">
        <v>85</v>
      </c>
      <c r="D42" s="52">
        <v>1</v>
      </c>
      <c r="E42" s="53"/>
      <c r="F42" s="52">
        <v>1</v>
      </c>
      <c r="G42" s="54" t="s">
        <v>118</v>
      </c>
      <c r="H42" s="65"/>
      <c r="I42" s="56">
        <v>2</v>
      </c>
      <c r="J42" s="57">
        <f t="shared" si="0"/>
        <v>2</v>
      </c>
      <c r="K42" s="58">
        <f t="shared" si="1"/>
        <v>2</v>
      </c>
      <c r="L42" s="56">
        <f t="shared" si="2"/>
        <v>0</v>
      </c>
      <c r="M42" s="40" t="s">
        <v>27</v>
      </c>
    </row>
    <row r="43" spans="1:13" ht="28.9" customHeight="1" x14ac:dyDescent="0.25">
      <c r="A43" s="59">
        <f t="shared" si="3"/>
        <v>42</v>
      </c>
      <c r="B43" s="77" t="s">
        <v>86</v>
      </c>
      <c r="C43" s="61" t="s">
        <v>87</v>
      </c>
      <c r="D43" s="34">
        <v>1</v>
      </c>
      <c r="E43" s="35"/>
      <c r="F43" s="34">
        <v>1</v>
      </c>
      <c r="G43" s="36" t="s">
        <v>27</v>
      </c>
      <c r="H43" s="37" t="s">
        <v>42</v>
      </c>
      <c r="I43" s="38">
        <v>2</v>
      </c>
      <c r="J43" s="38">
        <f t="shared" si="0"/>
        <v>2</v>
      </c>
      <c r="K43" s="39">
        <f t="shared" si="1"/>
        <v>2</v>
      </c>
      <c r="L43" s="38">
        <f t="shared" si="2"/>
        <v>0</v>
      </c>
      <c r="M43" s="40" t="s">
        <v>27</v>
      </c>
    </row>
    <row r="44" spans="1:13" ht="28.9" customHeight="1" x14ac:dyDescent="0.25">
      <c r="A44" s="31">
        <f t="shared" si="3"/>
        <v>43</v>
      </c>
      <c r="B44" s="77" t="s">
        <v>86</v>
      </c>
      <c r="C44" s="45" t="s">
        <v>88</v>
      </c>
      <c r="D44" s="34">
        <v>1</v>
      </c>
      <c r="E44" s="42"/>
      <c r="F44" s="34">
        <v>1</v>
      </c>
      <c r="G44" s="43" t="s">
        <v>27</v>
      </c>
      <c r="H44" s="37" t="s">
        <v>42</v>
      </c>
      <c r="I44" s="44">
        <v>2</v>
      </c>
      <c r="J44" s="38">
        <f t="shared" si="0"/>
        <v>2</v>
      </c>
      <c r="K44" s="39">
        <f t="shared" si="1"/>
        <v>2</v>
      </c>
      <c r="L44" s="44">
        <f t="shared" si="2"/>
        <v>0</v>
      </c>
      <c r="M44" s="40" t="s">
        <v>27</v>
      </c>
    </row>
    <row r="45" spans="1:13" ht="57.6" customHeight="1" x14ac:dyDescent="0.25">
      <c r="A45" s="31">
        <f t="shared" si="3"/>
        <v>44</v>
      </c>
      <c r="B45" s="77" t="s">
        <v>86</v>
      </c>
      <c r="C45" s="45" t="s">
        <v>89</v>
      </c>
      <c r="D45" s="34">
        <v>1</v>
      </c>
      <c r="E45" s="42"/>
      <c r="F45" s="34">
        <v>1</v>
      </c>
      <c r="G45" s="43" t="s">
        <v>27</v>
      </c>
      <c r="H45" s="37" t="s">
        <v>42</v>
      </c>
      <c r="I45" s="44">
        <v>2</v>
      </c>
      <c r="J45" s="38">
        <f t="shared" si="0"/>
        <v>2</v>
      </c>
      <c r="K45" s="39">
        <f t="shared" si="1"/>
        <v>2</v>
      </c>
      <c r="L45" s="44">
        <f t="shared" si="2"/>
        <v>0</v>
      </c>
      <c r="M45" s="40" t="s">
        <v>27</v>
      </c>
    </row>
    <row r="46" spans="1:13" s="30" customFormat="1" ht="35.25" customHeight="1" x14ac:dyDescent="0.25">
      <c r="A46" s="31">
        <f t="shared" si="3"/>
        <v>45</v>
      </c>
      <c r="B46" s="77" t="s">
        <v>86</v>
      </c>
      <c r="C46" s="45" t="s">
        <v>90</v>
      </c>
      <c r="D46" s="34">
        <v>1</v>
      </c>
      <c r="E46" s="42"/>
      <c r="F46" s="34">
        <v>1</v>
      </c>
      <c r="G46" s="78" t="s">
        <v>27</v>
      </c>
      <c r="H46" s="37" t="s">
        <v>42</v>
      </c>
      <c r="I46" s="44">
        <v>3</v>
      </c>
      <c r="J46" s="38">
        <f t="shared" si="0"/>
        <v>3</v>
      </c>
      <c r="K46" s="39">
        <f t="shared" si="1"/>
        <v>3</v>
      </c>
      <c r="L46" s="44">
        <f t="shared" si="2"/>
        <v>0</v>
      </c>
      <c r="M46" s="40" t="s">
        <v>27</v>
      </c>
    </row>
    <row r="47" spans="1:13" s="30" customFormat="1" ht="28.9" customHeight="1" x14ac:dyDescent="0.25">
      <c r="A47" s="31">
        <f t="shared" si="3"/>
        <v>46</v>
      </c>
      <c r="B47" s="77" t="s">
        <v>86</v>
      </c>
      <c r="C47" s="45" t="s">
        <v>91</v>
      </c>
      <c r="D47" s="34">
        <v>1</v>
      </c>
      <c r="E47" s="42" t="s">
        <v>119</v>
      </c>
      <c r="F47" s="34">
        <v>1</v>
      </c>
      <c r="G47" s="78" t="s">
        <v>27</v>
      </c>
      <c r="H47" s="37" t="s">
        <v>42</v>
      </c>
      <c r="I47" s="44">
        <v>1</v>
      </c>
      <c r="J47" s="38">
        <f t="shared" si="0"/>
        <v>1</v>
      </c>
      <c r="K47" s="39">
        <f t="shared" si="1"/>
        <v>1</v>
      </c>
      <c r="L47" s="44">
        <f t="shared" si="2"/>
        <v>0</v>
      </c>
      <c r="M47" s="40" t="s">
        <v>27</v>
      </c>
    </row>
    <row r="48" spans="1:13" s="30" customFormat="1" ht="57.6" customHeight="1" x14ac:dyDescent="0.25">
      <c r="A48" s="31">
        <f t="shared" si="3"/>
        <v>47</v>
      </c>
      <c r="B48" s="77" t="s">
        <v>86</v>
      </c>
      <c r="C48" s="45" t="s">
        <v>92</v>
      </c>
      <c r="D48" s="34">
        <v>1</v>
      </c>
      <c r="E48" s="42" t="s">
        <v>120</v>
      </c>
      <c r="F48" s="34">
        <v>1</v>
      </c>
      <c r="G48" s="78" t="s">
        <v>27</v>
      </c>
      <c r="H48" s="37" t="s">
        <v>42</v>
      </c>
      <c r="I48" s="44">
        <v>3</v>
      </c>
      <c r="J48" s="38">
        <f t="shared" si="0"/>
        <v>3</v>
      </c>
      <c r="K48" s="39">
        <f t="shared" si="1"/>
        <v>3</v>
      </c>
      <c r="L48" s="44">
        <f t="shared" si="2"/>
        <v>0</v>
      </c>
      <c r="M48" s="40" t="s">
        <v>27</v>
      </c>
    </row>
  </sheetData>
  <sheetProtection algorithmName="SHA-512" hashValue="yU9aOAC+QsrTtIG0GhUG8t1leoXeL6zY5jK17TQWYJunz21Ob74fJng13YH9PaueHUHdiLEh1ICm8m9X0E6OUw==" saltValue="XTAK/DbumMtw1b/64xwQAA==" spinCount="100000" sheet="1" sort="0"/>
  <autoFilter ref="M1:M48" xr:uid="{00000000-0009-0000-0000-000001000000}"/>
  <conditionalFormatting sqref="C2:C48">
    <cfRule type="expression" dxfId="7" priority="9">
      <formula>H2="TRUE"</formula>
    </cfRule>
  </conditionalFormatting>
  <conditionalFormatting sqref="D1">
    <cfRule type="cellIs" dxfId="6" priority="2" operator="equal">
      <formula>0</formula>
    </cfRule>
  </conditionalFormatting>
  <conditionalFormatting sqref="D1:D1048576">
    <cfRule type="cellIs" dxfId="5" priority="3" operator="equal">
      <formula>1</formula>
    </cfRule>
  </conditionalFormatting>
  <conditionalFormatting sqref="D2:D48 F2:F48">
    <cfRule type="cellIs" dxfId="4" priority="4" operator="notEqual">
      <formula>1</formula>
    </cfRule>
  </conditionalFormatting>
  <conditionalFormatting sqref="F1:F1048576">
    <cfRule type="cellIs" dxfId="3" priority="14" operator="equal">
      <formula>1</formula>
    </cfRule>
  </conditionalFormatting>
  <dataValidations count="1">
    <dataValidation type="list" allowBlank="1" showInputMessage="1" showErrorMessage="1" sqref="D2:D48" xr:uid="{0BBDBA8C-A373-4E01-8CA2-15E7EAC7DF53}">
      <formula1>"1,0"</formula1>
    </dataValidation>
  </dataValidations>
  <pageMargins left="0.7" right="0.7" top="0.75" bottom="0.75" header="0.3" footer="0.3"/>
  <pageSetup paperSize="9" orientation="portrait" useFirstPageNumber="1" horizontalDpi="4294967293"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8"/>
  <sheetViews>
    <sheetView zoomScaleNormal="100" workbookViewId="0">
      <selection activeCell="B1" sqref="B1"/>
    </sheetView>
  </sheetViews>
  <sheetFormatPr defaultRowHeight="14.45" customHeight="1" x14ac:dyDescent="0.25"/>
  <cols>
    <col min="2" max="2" width="19" customWidth="1"/>
    <col min="3" max="3" width="14.85546875" customWidth="1"/>
    <col min="4" max="4" width="13.42578125" customWidth="1"/>
    <col min="5" max="5" width="13.28515625" customWidth="1"/>
    <col min="6" max="6" width="12.5703125" customWidth="1"/>
  </cols>
  <sheetData>
    <row r="1" spans="1:29" ht="22.9" customHeight="1" x14ac:dyDescent="0.35">
      <c r="A1" s="5"/>
      <c r="B1" s="123" t="s">
        <v>93</v>
      </c>
      <c r="C1" s="123"/>
      <c r="D1" s="124"/>
      <c r="E1" s="124"/>
      <c r="F1" s="124"/>
      <c r="G1" s="5"/>
      <c r="H1" s="5"/>
      <c r="I1" s="5"/>
      <c r="J1" s="5"/>
      <c r="K1" s="5"/>
      <c r="L1" s="5"/>
      <c r="M1" s="5"/>
      <c r="N1" s="5"/>
      <c r="O1" s="5"/>
      <c r="P1" s="5"/>
      <c r="Q1" s="5"/>
      <c r="R1" s="5"/>
      <c r="S1" s="5"/>
      <c r="T1" s="5"/>
      <c r="U1" s="5"/>
      <c r="V1" s="5"/>
      <c r="W1" s="5"/>
      <c r="X1" s="5"/>
      <c r="Y1" s="5"/>
      <c r="Z1" s="5"/>
      <c r="AA1" s="5"/>
      <c r="AB1" s="5"/>
      <c r="AC1" s="5"/>
    </row>
    <row r="2" spans="1:29" ht="15" x14ac:dyDescent="0.25">
      <c r="A2" s="5"/>
      <c r="B2" s="79"/>
      <c r="C2" s="80" t="s">
        <v>94</v>
      </c>
      <c r="D2" s="80" t="s">
        <v>95</v>
      </c>
      <c r="E2" s="80" t="s">
        <v>96</v>
      </c>
      <c r="F2" s="80" t="s">
        <v>97</v>
      </c>
      <c r="G2" s="5"/>
      <c r="H2" s="5"/>
      <c r="I2" s="5"/>
      <c r="J2" s="5"/>
      <c r="K2" s="5"/>
      <c r="L2" s="5"/>
      <c r="M2" s="5"/>
      <c r="N2" s="5"/>
      <c r="O2" s="5"/>
      <c r="P2" s="5"/>
      <c r="Q2" s="5"/>
      <c r="R2" s="5"/>
      <c r="S2" s="5"/>
      <c r="T2" s="5"/>
      <c r="U2" s="5"/>
      <c r="V2" s="5"/>
      <c r="W2" s="5"/>
      <c r="X2" s="5"/>
      <c r="Y2" s="5"/>
      <c r="Z2" s="5"/>
      <c r="AA2" s="5"/>
      <c r="AB2" s="5"/>
      <c r="AC2" s="5"/>
    </row>
    <row r="3" spans="1:29" ht="29.25" customHeight="1" x14ac:dyDescent="0.25">
      <c r="A3" s="5"/>
      <c r="B3" s="81" t="s">
        <v>40</v>
      </c>
      <c r="C3" s="79">
        <f>COUNTIFS(SuccessCriteria!B2:B48,"="&amp;B3,SuccessCriteria!D2:D48,1)</f>
        <v>8</v>
      </c>
      <c r="D3" s="79">
        <f t="shared" ref="D3:D7" si="0">E3-C3</f>
        <v>0</v>
      </c>
      <c r="E3" s="82">
        <v>8</v>
      </c>
      <c r="F3" s="83">
        <f>C3/E3</f>
        <v>1</v>
      </c>
      <c r="G3" s="5"/>
      <c r="H3" s="5"/>
      <c r="I3" s="5"/>
      <c r="J3" s="5"/>
      <c r="K3" s="5"/>
      <c r="L3" s="5"/>
      <c r="M3" s="5"/>
      <c r="N3" s="5"/>
      <c r="O3" s="5"/>
      <c r="P3" s="5"/>
      <c r="Q3" s="5"/>
      <c r="R3" s="5"/>
      <c r="S3" s="5"/>
      <c r="T3" s="5"/>
      <c r="U3" s="5"/>
      <c r="V3" s="5"/>
      <c r="W3" s="5"/>
      <c r="X3" s="5"/>
      <c r="Y3" s="5"/>
      <c r="Z3" s="5"/>
      <c r="AA3" s="5"/>
      <c r="AB3" s="5"/>
      <c r="AC3" s="5"/>
    </row>
    <row r="4" spans="1:29" ht="27" customHeight="1" x14ac:dyDescent="0.25">
      <c r="A4" s="5"/>
      <c r="B4" s="81" t="s">
        <v>50</v>
      </c>
      <c r="C4" s="79">
        <f>COUNTIFS(SuccessCriteria!B3:B49,"="&amp;B4,SuccessCriteria!D3:D49,1)</f>
        <v>17</v>
      </c>
      <c r="D4" s="79">
        <f t="shared" si="0"/>
        <v>0</v>
      </c>
      <c r="E4" s="82">
        <v>17</v>
      </c>
      <c r="F4" s="83">
        <f t="shared" ref="F4:F8" si="1">C4/E4</f>
        <v>1</v>
      </c>
      <c r="G4" s="5"/>
      <c r="H4" s="5"/>
      <c r="I4" s="5"/>
      <c r="J4" s="5"/>
      <c r="K4" s="5"/>
      <c r="L4" s="5"/>
      <c r="M4" s="5"/>
      <c r="N4" s="5"/>
      <c r="O4" s="5"/>
      <c r="P4" s="5"/>
      <c r="Q4" s="5"/>
      <c r="R4" s="5"/>
      <c r="S4" s="5"/>
      <c r="T4" s="5"/>
      <c r="U4" s="5"/>
      <c r="V4" s="5"/>
      <c r="W4" s="5"/>
      <c r="X4" s="5"/>
      <c r="Y4" s="5"/>
      <c r="Z4" s="5"/>
      <c r="AA4" s="5"/>
      <c r="AB4" s="5"/>
      <c r="AC4" s="5"/>
    </row>
    <row r="5" spans="1:29" ht="15" x14ac:dyDescent="0.25">
      <c r="A5" s="5"/>
      <c r="B5" s="81" t="s">
        <v>68</v>
      </c>
      <c r="C5" s="79">
        <f>COUNTIFS(SuccessCriteria!B4:B50,"="&amp;B5,SuccessCriteria!D4:D50,1)</f>
        <v>8</v>
      </c>
      <c r="D5" s="79">
        <f t="shared" si="0"/>
        <v>1</v>
      </c>
      <c r="E5" s="82">
        <v>9</v>
      </c>
      <c r="F5" s="83">
        <f t="shared" si="1"/>
        <v>0.88888888888888884</v>
      </c>
      <c r="G5" s="5"/>
      <c r="H5" s="5"/>
      <c r="I5" s="5"/>
      <c r="J5" s="5"/>
      <c r="K5" s="5"/>
      <c r="L5" s="5"/>
      <c r="M5" s="5"/>
      <c r="N5" s="5"/>
      <c r="O5" s="5"/>
      <c r="P5" s="5"/>
      <c r="Q5" s="5"/>
      <c r="R5" s="5"/>
      <c r="S5" s="5"/>
      <c r="T5" s="5"/>
      <c r="U5" s="5"/>
      <c r="V5" s="5"/>
      <c r="W5" s="5"/>
      <c r="X5" s="5"/>
      <c r="Y5" s="5"/>
      <c r="Z5" s="5"/>
      <c r="AA5" s="5"/>
      <c r="AB5" s="5"/>
      <c r="AC5" s="5"/>
    </row>
    <row r="6" spans="1:29" ht="15" x14ac:dyDescent="0.25">
      <c r="A6" s="5"/>
      <c r="B6" s="81" t="s">
        <v>78</v>
      </c>
      <c r="C6" s="79">
        <f>COUNTIFS(SuccessCriteria!B5:B51,"="&amp;B6,SuccessCriteria!D5:D51,1)</f>
        <v>4</v>
      </c>
      <c r="D6" s="79">
        <f t="shared" si="0"/>
        <v>3</v>
      </c>
      <c r="E6" s="82">
        <v>7</v>
      </c>
      <c r="F6" s="83">
        <f t="shared" si="1"/>
        <v>0.5714285714285714</v>
      </c>
      <c r="G6" s="5"/>
      <c r="H6" s="5"/>
      <c r="I6" s="5"/>
      <c r="J6" s="5"/>
      <c r="K6" s="5"/>
      <c r="L6" s="5"/>
      <c r="M6" s="5"/>
      <c r="N6" s="5"/>
      <c r="O6" s="5"/>
      <c r="P6" s="5"/>
      <c r="Q6" s="5"/>
      <c r="R6" s="5"/>
      <c r="S6" s="5"/>
      <c r="T6" s="5"/>
      <c r="U6" s="5"/>
      <c r="V6" s="5"/>
      <c r="W6" s="5"/>
      <c r="X6" s="5"/>
      <c r="Y6" s="5"/>
      <c r="Z6" s="5"/>
      <c r="AA6" s="5"/>
      <c r="AB6" s="5"/>
      <c r="AC6" s="5"/>
    </row>
    <row r="7" spans="1:29" ht="15" x14ac:dyDescent="0.25">
      <c r="A7" s="5"/>
      <c r="B7" s="81" t="s">
        <v>86</v>
      </c>
      <c r="C7" s="79">
        <f>COUNTIFS(SuccessCriteria!B6:B52,"="&amp;B7,SuccessCriteria!D6:D52,1)</f>
        <v>6</v>
      </c>
      <c r="D7" s="79">
        <f t="shared" si="0"/>
        <v>0</v>
      </c>
      <c r="E7" s="82">
        <v>6</v>
      </c>
      <c r="F7" s="83">
        <f t="shared" si="1"/>
        <v>1</v>
      </c>
      <c r="G7" s="5"/>
      <c r="H7" s="5"/>
      <c r="I7" s="5"/>
      <c r="J7" s="5"/>
      <c r="K7" s="5"/>
      <c r="L7" s="5"/>
      <c r="M7" s="5"/>
      <c r="N7" s="5"/>
      <c r="O7" s="5"/>
      <c r="P7" s="5"/>
      <c r="Q7" s="5"/>
      <c r="R7" s="5"/>
      <c r="S7" s="5"/>
      <c r="T7" s="5"/>
      <c r="U7" s="5"/>
      <c r="V7" s="5"/>
      <c r="W7" s="5"/>
      <c r="X7" s="5"/>
      <c r="Y7" s="5"/>
      <c r="Z7" s="5"/>
      <c r="AA7" s="5"/>
      <c r="AB7" s="5"/>
      <c r="AC7" s="5"/>
    </row>
    <row r="8" spans="1:29" ht="15" x14ac:dyDescent="0.25">
      <c r="A8" s="5"/>
      <c r="B8" s="84" t="s">
        <v>98</v>
      </c>
      <c r="C8" s="85">
        <f>SUM(C3:C7)</f>
        <v>43</v>
      </c>
      <c r="D8" s="85">
        <f>SUM(D3:D7)</f>
        <v>4</v>
      </c>
      <c r="E8" s="85">
        <f>SUM(E3:E7)</f>
        <v>47</v>
      </c>
      <c r="F8" s="83">
        <f t="shared" si="1"/>
        <v>0.91489361702127658</v>
      </c>
      <c r="G8" s="5"/>
      <c r="H8" s="5"/>
      <c r="I8" s="5"/>
      <c r="J8" s="5"/>
      <c r="K8" s="5"/>
      <c r="L8" s="5"/>
      <c r="M8" s="5"/>
      <c r="N8" s="5"/>
      <c r="O8" s="5"/>
      <c r="P8" s="5"/>
      <c r="Q8" s="5"/>
      <c r="R8" s="5"/>
      <c r="S8" s="5"/>
      <c r="T8" s="5"/>
      <c r="U8" s="5"/>
      <c r="V8" s="5"/>
      <c r="W8" s="5"/>
      <c r="X8" s="5"/>
      <c r="Y8" s="5"/>
      <c r="Z8" s="5"/>
      <c r="AA8" s="5"/>
      <c r="AB8" s="5"/>
      <c r="AC8" s="5"/>
    </row>
    <row r="9" spans="1:29" ht="15" x14ac:dyDescent="0.25">
      <c r="A9" s="5"/>
      <c r="B9" s="86"/>
      <c r="C9" s="86"/>
      <c r="D9" s="86"/>
      <c r="E9" s="86"/>
      <c r="F9" s="86"/>
      <c r="G9" s="5"/>
      <c r="H9" s="5"/>
      <c r="I9" s="5"/>
      <c r="J9" s="5"/>
      <c r="K9" s="5"/>
      <c r="L9" s="5"/>
      <c r="M9" s="5"/>
      <c r="N9" s="5"/>
      <c r="O9" s="5"/>
      <c r="P9" s="5"/>
      <c r="Q9" s="5"/>
      <c r="R9" s="5"/>
      <c r="S9" s="5"/>
      <c r="T9" s="5"/>
      <c r="U9" s="5"/>
      <c r="V9" s="5"/>
      <c r="W9" s="5"/>
      <c r="X9" s="5"/>
      <c r="Y9" s="5"/>
      <c r="Z9" s="5"/>
      <c r="AA9" s="5"/>
      <c r="AB9" s="5"/>
      <c r="AC9" s="5"/>
    </row>
    <row r="10" spans="1:29" ht="15" x14ac:dyDescent="0.25">
      <c r="A10" s="5"/>
      <c r="B10" s="86"/>
      <c r="C10" s="86"/>
      <c r="D10" s="86"/>
      <c r="E10" s="86"/>
      <c r="F10" s="86"/>
      <c r="G10" s="5"/>
      <c r="H10" s="5"/>
      <c r="I10" s="5"/>
      <c r="J10" s="5"/>
      <c r="K10" s="5"/>
      <c r="L10" s="5"/>
      <c r="M10" s="5"/>
      <c r="N10" s="5"/>
      <c r="O10" s="5"/>
      <c r="P10" s="5"/>
      <c r="Q10" s="5"/>
      <c r="R10" s="5"/>
      <c r="S10" s="5"/>
      <c r="T10" s="5"/>
      <c r="U10" s="5"/>
      <c r="V10" s="5"/>
      <c r="W10" s="5"/>
      <c r="X10" s="5"/>
      <c r="Y10" s="5"/>
      <c r="Z10" s="5"/>
      <c r="AA10" s="5"/>
      <c r="AB10" s="5"/>
      <c r="AC10" s="5"/>
    </row>
    <row r="11" spans="1:29" ht="15" x14ac:dyDescent="0.25">
      <c r="A11" s="5"/>
      <c r="B11" s="86"/>
      <c r="C11" s="86"/>
      <c r="D11" s="86"/>
      <c r="E11" s="86"/>
      <c r="F11" s="86"/>
      <c r="G11" s="5"/>
      <c r="H11" s="5"/>
      <c r="I11" s="5"/>
      <c r="J11" s="5"/>
      <c r="K11" s="5"/>
      <c r="L11" s="5"/>
      <c r="M11" s="5"/>
      <c r="N11" s="5"/>
      <c r="O11" s="5"/>
      <c r="P11" s="5"/>
      <c r="Q11" s="5"/>
      <c r="R11" s="5"/>
      <c r="S11" s="5"/>
      <c r="T11" s="5"/>
      <c r="U11" s="5"/>
      <c r="V11" s="5"/>
      <c r="W11" s="5"/>
      <c r="X11" s="5"/>
      <c r="Y11" s="5"/>
      <c r="Z11" s="5"/>
      <c r="AA11" s="5"/>
      <c r="AB11" s="5"/>
      <c r="AC11" s="5"/>
    </row>
    <row r="12" spans="1:29" ht="15" x14ac:dyDescent="0.25">
      <c r="A12" s="5"/>
      <c r="B12" s="86"/>
      <c r="C12" s="86"/>
      <c r="D12" s="86"/>
      <c r="E12" s="86"/>
      <c r="F12" s="86"/>
      <c r="G12" s="5"/>
      <c r="H12" s="5"/>
      <c r="I12" s="5"/>
      <c r="J12" s="5"/>
      <c r="K12" s="5"/>
      <c r="L12" s="5"/>
      <c r="M12" s="5"/>
      <c r="N12" s="5"/>
      <c r="O12" s="5"/>
      <c r="P12" s="5"/>
      <c r="Q12" s="5"/>
      <c r="R12" s="5"/>
      <c r="S12" s="5"/>
      <c r="T12" s="5"/>
      <c r="U12" s="5"/>
      <c r="V12" s="5"/>
      <c r="W12" s="5"/>
      <c r="X12" s="5"/>
      <c r="Y12" s="5"/>
      <c r="Z12" s="5"/>
      <c r="AA12" s="5"/>
      <c r="AB12" s="5"/>
      <c r="AC12" s="5"/>
    </row>
    <row r="13" spans="1:29" ht="15" x14ac:dyDescent="0.25">
      <c r="A13" s="5"/>
      <c r="B13" s="86"/>
      <c r="C13" s="86"/>
      <c r="D13" s="86"/>
      <c r="E13" s="86"/>
      <c r="F13" s="86"/>
      <c r="G13" s="5"/>
      <c r="H13" s="5"/>
      <c r="I13" s="5"/>
      <c r="J13" s="5"/>
      <c r="K13" s="5"/>
      <c r="L13" s="5"/>
      <c r="M13" s="5"/>
      <c r="N13" s="5"/>
      <c r="O13" s="5"/>
      <c r="P13" s="5"/>
      <c r="Q13" s="5"/>
      <c r="R13" s="5"/>
      <c r="S13" s="5"/>
      <c r="T13" s="5"/>
      <c r="U13" s="5"/>
      <c r="V13" s="5"/>
      <c r="W13" s="5"/>
      <c r="X13" s="5"/>
      <c r="Y13" s="5"/>
      <c r="Z13" s="5"/>
      <c r="AA13" s="5"/>
      <c r="AB13" s="5"/>
      <c r="AC13" s="5"/>
    </row>
    <row r="14" spans="1:29" ht="15" x14ac:dyDescent="0.25">
      <c r="A14" s="5"/>
      <c r="B14" s="86"/>
      <c r="C14" s="86"/>
      <c r="D14" s="86"/>
      <c r="E14" s="86"/>
      <c r="F14" s="86"/>
      <c r="G14" s="5"/>
      <c r="H14" s="5"/>
      <c r="I14" s="5"/>
      <c r="J14" s="5"/>
      <c r="K14" s="5"/>
      <c r="L14" s="5"/>
      <c r="M14" s="5"/>
      <c r="N14" s="5"/>
      <c r="O14" s="5"/>
      <c r="P14" s="5"/>
      <c r="Q14" s="5"/>
      <c r="R14" s="5"/>
      <c r="S14" s="5"/>
      <c r="T14" s="5"/>
      <c r="U14" s="5"/>
      <c r="V14" s="5"/>
      <c r="W14" s="5"/>
      <c r="X14" s="5"/>
      <c r="Y14" s="5"/>
      <c r="Z14" s="5"/>
      <c r="AA14" s="5"/>
      <c r="AB14" s="5"/>
      <c r="AC14" s="5"/>
    </row>
    <row r="15" spans="1:29" ht="15" x14ac:dyDescent="0.25">
      <c r="A15" s="5"/>
      <c r="B15" s="86"/>
      <c r="C15" s="86"/>
      <c r="D15" s="86"/>
      <c r="E15" s="86"/>
      <c r="F15" s="86"/>
      <c r="G15" s="5"/>
      <c r="H15" s="5"/>
      <c r="I15" s="5"/>
      <c r="J15" s="5"/>
      <c r="K15" s="5"/>
      <c r="L15" s="5"/>
      <c r="M15" s="5"/>
      <c r="N15" s="5"/>
      <c r="O15" s="5"/>
      <c r="P15" s="5"/>
      <c r="Q15" s="5"/>
      <c r="R15" s="5"/>
      <c r="S15" s="5"/>
      <c r="T15" s="5"/>
      <c r="U15" s="5"/>
      <c r="V15" s="5"/>
      <c r="W15" s="5"/>
      <c r="X15" s="5"/>
      <c r="Y15" s="5"/>
      <c r="Z15" s="5"/>
      <c r="AA15" s="5"/>
      <c r="AB15" s="5"/>
      <c r="AC15" s="5"/>
    </row>
    <row r="16" spans="1:29" ht="15" x14ac:dyDescent="0.25">
      <c r="A16" s="5"/>
      <c r="B16" s="86"/>
      <c r="C16" s="86"/>
      <c r="D16" s="86"/>
      <c r="E16" s="86"/>
      <c r="F16" s="86"/>
      <c r="G16" s="5"/>
      <c r="H16" s="5"/>
      <c r="I16" s="5"/>
      <c r="J16" s="5"/>
      <c r="K16" s="5"/>
      <c r="L16" s="5"/>
      <c r="M16" s="5"/>
      <c r="N16" s="5"/>
      <c r="O16" s="5"/>
      <c r="P16" s="5"/>
      <c r="Q16" s="5"/>
      <c r="R16" s="5"/>
      <c r="S16" s="5"/>
      <c r="T16" s="5"/>
      <c r="U16" s="5"/>
      <c r="V16" s="5"/>
      <c r="W16" s="5"/>
      <c r="X16" s="5"/>
      <c r="Y16" s="5"/>
      <c r="Z16" s="5"/>
      <c r="AA16" s="5"/>
      <c r="AB16" s="5"/>
      <c r="AC16" s="5"/>
    </row>
    <row r="17" spans="1:29" ht="15" x14ac:dyDescent="0.25">
      <c r="A17" s="5"/>
      <c r="B17" s="86"/>
      <c r="C17" s="86"/>
      <c r="D17" s="86"/>
      <c r="E17" s="86"/>
      <c r="F17" s="86"/>
      <c r="G17" s="5"/>
      <c r="H17" s="5"/>
      <c r="I17" s="5"/>
      <c r="J17" s="5"/>
      <c r="K17" s="5"/>
      <c r="L17" s="5"/>
      <c r="M17" s="5"/>
      <c r="N17" s="5"/>
      <c r="O17" s="5"/>
      <c r="P17" s="5"/>
      <c r="Q17" s="5"/>
      <c r="R17" s="5"/>
      <c r="S17" s="5"/>
      <c r="T17" s="5"/>
      <c r="U17" s="5"/>
      <c r="V17" s="5"/>
      <c r="W17" s="5"/>
      <c r="X17" s="5"/>
      <c r="Y17" s="5"/>
      <c r="Z17" s="5"/>
      <c r="AA17" s="5"/>
      <c r="AB17" s="5"/>
      <c r="AC17" s="5"/>
    </row>
    <row r="18" spans="1:29" ht="15" x14ac:dyDescent="0.25">
      <c r="A18" s="5"/>
      <c r="B18" s="86"/>
      <c r="C18" s="86"/>
      <c r="D18" s="86"/>
      <c r="E18" s="86"/>
      <c r="F18" s="86"/>
      <c r="G18" s="5"/>
      <c r="H18" s="5"/>
      <c r="I18" s="5"/>
      <c r="J18" s="5"/>
      <c r="K18" s="5"/>
      <c r="L18" s="5"/>
      <c r="M18" s="5"/>
      <c r="N18" s="5"/>
      <c r="O18" s="5"/>
      <c r="P18" s="5"/>
      <c r="Q18" s="5"/>
      <c r="R18" s="5"/>
      <c r="S18" s="5"/>
      <c r="T18" s="5"/>
      <c r="U18" s="5"/>
      <c r="V18" s="5"/>
      <c r="W18" s="5"/>
      <c r="X18" s="5"/>
      <c r="Y18" s="5"/>
      <c r="Z18" s="5"/>
      <c r="AA18" s="5"/>
      <c r="AB18" s="5"/>
      <c r="AC18" s="5"/>
    </row>
    <row r="19" spans="1:29" ht="15" x14ac:dyDescent="0.25">
      <c r="A19" s="5"/>
      <c r="B19" s="86"/>
      <c r="C19" s="86"/>
      <c r="D19" s="86"/>
      <c r="E19" s="86"/>
      <c r="F19" s="86"/>
      <c r="G19" s="5"/>
      <c r="H19" s="5"/>
      <c r="I19" s="5"/>
      <c r="J19" s="5"/>
      <c r="K19" s="5"/>
      <c r="L19" s="5"/>
      <c r="M19" s="5"/>
      <c r="N19" s="5"/>
      <c r="O19" s="5"/>
      <c r="P19" s="5"/>
      <c r="Q19" s="5"/>
      <c r="R19" s="5"/>
      <c r="S19" s="5"/>
      <c r="T19" s="5"/>
      <c r="U19" s="5"/>
      <c r="V19" s="5"/>
      <c r="W19" s="5"/>
      <c r="X19" s="5"/>
      <c r="Y19" s="5"/>
      <c r="Z19" s="5"/>
      <c r="AA19" s="5"/>
      <c r="AB19" s="5"/>
      <c r="AC19" s="5"/>
    </row>
    <row r="20" spans="1:29" ht="15" x14ac:dyDescent="0.25">
      <c r="A20" s="5"/>
      <c r="B20" s="86"/>
      <c r="C20" s="86"/>
      <c r="D20" s="86"/>
      <c r="E20" s="86"/>
      <c r="F20" s="86"/>
      <c r="G20" s="5"/>
      <c r="H20" s="5"/>
      <c r="I20" s="5"/>
      <c r="J20" s="5"/>
      <c r="K20" s="5"/>
      <c r="L20" s="5"/>
      <c r="M20" s="5"/>
      <c r="N20" s="5"/>
      <c r="O20" s="5"/>
      <c r="P20" s="5"/>
      <c r="Q20" s="5"/>
      <c r="R20" s="5"/>
      <c r="S20" s="5"/>
      <c r="T20" s="5"/>
      <c r="U20" s="5"/>
      <c r="V20" s="5"/>
      <c r="W20" s="5"/>
      <c r="X20" s="5"/>
      <c r="Y20" s="5"/>
      <c r="Z20" s="5"/>
      <c r="AA20" s="5"/>
      <c r="AB20" s="5"/>
      <c r="AC20" s="5"/>
    </row>
    <row r="21" spans="1:29" ht="15" x14ac:dyDescent="0.25">
      <c r="A21" s="5"/>
      <c r="B21" s="86"/>
      <c r="C21" s="86"/>
      <c r="D21" s="86"/>
      <c r="E21" s="86"/>
      <c r="F21" s="86"/>
      <c r="G21" s="5"/>
      <c r="H21" s="5"/>
      <c r="I21" s="5"/>
      <c r="J21" s="5"/>
      <c r="K21" s="5"/>
      <c r="L21" s="5"/>
      <c r="M21" s="5"/>
      <c r="N21" s="5"/>
      <c r="O21" s="5"/>
      <c r="P21" s="5"/>
      <c r="Q21" s="5"/>
      <c r="R21" s="5"/>
      <c r="S21" s="5"/>
      <c r="T21" s="5"/>
      <c r="U21" s="5"/>
      <c r="V21" s="5"/>
      <c r="W21" s="5"/>
      <c r="X21" s="5"/>
      <c r="Y21" s="5"/>
      <c r="Z21" s="5"/>
      <c r="AA21" s="5"/>
      <c r="AB21" s="5"/>
      <c r="AC21" s="5"/>
    </row>
    <row r="22" spans="1:29" ht="15" x14ac:dyDescent="0.25">
      <c r="A22" s="5"/>
      <c r="B22" s="86"/>
      <c r="C22" s="86"/>
      <c r="D22" s="86"/>
      <c r="E22" s="86"/>
      <c r="F22" s="86"/>
      <c r="G22" s="5"/>
      <c r="H22" s="5"/>
      <c r="I22" s="5"/>
      <c r="J22" s="5"/>
      <c r="K22" s="5"/>
      <c r="L22" s="5"/>
      <c r="M22" s="5"/>
      <c r="N22" s="5"/>
      <c r="O22" s="5"/>
      <c r="P22" s="5"/>
      <c r="Q22" s="5"/>
      <c r="R22" s="5"/>
      <c r="S22" s="5"/>
      <c r="T22" s="5"/>
      <c r="U22" s="5"/>
      <c r="V22" s="5"/>
      <c r="W22" s="5"/>
      <c r="X22" s="5"/>
      <c r="Y22" s="5"/>
      <c r="Z22" s="5"/>
      <c r="AA22" s="5"/>
      <c r="AB22" s="5"/>
      <c r="AC22" s="5"/>
    </row>
    <row r="23" spans="1:29" ht="15" x14ac:dyDescent="0.25">
      <c r="A23" s="5"/>
      <c r="B23" s="86"/>
      <c r="C23" s="86"/>
      <c r="D23" s="86"/>
      <c r="E23" s="86"/>
      <c r="F23" s="86"/>
      <c r="G23" s="5"/>
      <c r="H23" s="5"/>
      <c r="I23" s="5"/>
      <c r="J23" s="5"/>
      <c r="K23" s="5"/>
      <c r="L23" s="5"/>
      <c r="M23" s="5"/>
      <c r="N23" s="5"/>
      <c r="O23" s="5"/>
      <c r="P23" s="5"/>
      <c r="Q23" s="5"/>
      <c r="R23" s="5"/>
      <c r="S23" s="5"/>
      <c r="T23" s="5"/>
      <c r="U23" s="5"/>
      <c r="V23" s="5"/>
      <c r="W23" s="5"/>
      <c r="X23" s="5"/>
      <c r="Y23" s="5"/>
      <c r="Z23" s="5"/>
      <c r="AA23" s="5"/>
      <c r="AB23" s="5"/>
      <c r="AC23" s="5"/>
    </row>
    <row r="24" spans="1:29" ht="15" x14ac:dyDescent="0.25">
      <c r="A24" s="5"/>
      <c r="B24" s="86"/>
      <c r="C24" s="86"/>
      <c r="D24" s="86"/>
      <c r="E24" s="86"/>
      <c r="F24" s="86"/>
      <c r="G24" s="5"/>
      <c r="H24" s="5"/>
      <c r="I24" s="5"/>
      <c r="J24" s="5"/>
      <c r="K24" s="5"/>
      <c r="L24" s="5"/>
      <c r="M24" s="5"/>
      <c r="N24" s="5"/>
      <c r="O24" s="5"/>
      <c r="P24" s="5"/>
      <c r="Q24" s="5"/>
      <c r="R24" s="5"/>
      <c r="S24" s="5"/>
      <c r="T24" s="5"/>
      <c r="U24" s="5"/>
      <c r="V24" s="5"/>
      <c r="W24" s="5"/>
      <c r="X24" s="5"/>
      <c r="Y24" s="5"/>
      <c r="Z24" s="5"/>
      <c r="AA24" s="5"/>
      <c r="AB24" s="5"/>
      <c r="AC24" s="5"/>
    </row>
    <row r="25" spans="1:29" ht="15" x14ac:dyDescent="0.25">
      <c r="A25" s="5"/>
      <c r="B25" s="86"/>
      <c r="C25" s="86"/>
      <c r="D25" s="86"/>
      <c r="E25" s="86"/>
      <c r="F25" s="87"/>
      <c r="G25" s="5"/>
      <c r="H25" s="5"/>
      <c r="I25" s="5"/>
      <c r="J25" s="5"/>
      <c r="K25" s="5"/>
      <c r="L25" s="5"/>
      <c r="M25" s="5"/>
      <c r="N25" s="5"/>
      <c r="O25" s="5"/>
      <c r="P25" s="5"/>
      <c r="Q25" s="5"/>
      <c r="R25" s="5"/>
      <c r="S25" s="5"/>
      <c r="T25" s="5"/>
      <c r="U25" s="5"/>
      <c r="V25" s="5"/>
      <c r="W25" s="5"/>
      <c r="X25" s="5"/>
      <c r="Y25" s="5"/>
      <c r="Z25" s="5"/>
      <c r="AA25" s="5"/>
      <c r="AB25" s="5"/>
      <c r="AC25" s="5"/>
    </row>
    <row r="26" spans="1:29" ht="15"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ht="15"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ht="15"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ht="15"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ht="15"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ht="15"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ht="15"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29" ht="15"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ht="15"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ht="15"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ht="15"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ht="15"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29" ht="15"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spans="1:29" ht="15"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ht="15"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ht="15"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ht="15"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ht="15"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ht="15"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ht="15"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ht="15"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spans="1:29" ht="15"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spans="1:29" ht="15" x14ac:dyDescent="0.25">
      <c r="A48" s="5"/>
      <c r="G48" s="5"/>
      <c r="H48" s="5"/>
      <c r="I48" s="5"/>
      <c r="J48" s="5"/>
      <c r="K48" s="5"/>
      <c r="L48" s="5"/>
      <c r="M48" s="5"/>
      <c r="N48" s="5"/>
      <c r="O48" s="5"/>
      <c r="P48" s="5"/>
      <c r="Q48" s="5"/>
      <c r="R48" s="5"/>
      <c r="S48" s="5"/>
      <c r="T48" s="5"/>
      <c r="U48" s="5"/>
      <c r="V48" s="5"/>
      <c r="W48" s="5"/>
      <c r="X48" s="5"/>
      <c r="Y48" s="5"/>
      <c r="Z48" s="5"/>
      <c r="AA48" s="5"/>
      <c r="AB48" s="5"/>
      <c r="AC48" s="5"/>
    </row>
  </sheetData>
  <sheetProtection algorithmName="SHA-512" hashValue="8D82nmINmJ0IW33M0t6xPqve227MeOrKunua4GKob0SMy/2rBWOgzduYesmfs2rWOtjb/8ipOipKsUg4pwD9Rg==" saltValue="Xtmd8n561uWLT15J5zVT4w==" spinCount="100000" sheet="1" scenarios="1" sort="0"/>
  <mergeCells count="1">
    <mergeCell ref="B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48"/>
  <sheetViews>
    <sheetView zoomScaleNormal="100" workbookViewId="0">
      <selection activeCell="E29" sqref="E29"/>
    </sheetView>
  </sheetViews>
  <sheetFormatPr defaultRowHeight="14.45" customHeight="1" x14ac:dyDescent="0.25"/>
  <cols>
    <col min="2" max="2" width="19" customWidth="1"/>
    <col min="3" max="3" width="14.85546875" customWidth="1"/>
    <col min="4" max="4" width="13.42578125" customWidth="1"/>
    <col min="5" max="5" width="13.28515625" customWidth="1"/>
    <col min="6" max="6" width="12.5703125" customWidth="1"/>
  </cols>
  <sheetData>
    <row r="1" spans="1:29" ht="22.9" customHeight="1" x14ac:dyDescent="0.35">
      <c r="A1" s="5"/>
      <c r="B1" s="123" t="s">
        <v>99</v>
      </c>
      <c r="C1" s="123"/>
      <c r="D1" s="124"/>
      <c r="E1" s="124"/>
      <c r="F1" s="124"/>
      <c r="G1" s="5"/>
      <c r="H1" s="5"/>
      <c r="I1" s="5"/>
      <c r="J1" s="5"/>
      <c r="K1" s="5"/>
      <c r="L1" s="5"/>
      <c r="M1" s="5"/>
      <c r="N1" s="5"/>
      <c r="O1" s="5"/>
      <c r="P1" s="5"/>
      <c r="Q1" s="5"/>
      <c r="R1" s="5"/>
      <c r="S1" s="5"/>
      <c r="T1" s="5"/>
      <c r="U1" s="5"/>
      <c r="V1" s="5"/>
      <c r="W1" s="5"/>
      <c r="X1" s="5"/>
      <c r="Y1" s="5"/>
      <c r="Z1" s="5"/>
      <c r="AA1" s="5"/>
      <c r="AB1" s="5"/>
      <c r="AC1" s="5"/>
    </row>
    <row r="2" spans="1:29" ht="15" x14ac:dyDescent="0.25">
      <c r="A2" s="5"/>
      <c r="B2" s="79"/>
      <c r="C2" s="80" t="s">
        <v>94</v>
      </c>
      <c r="D2" s="80" t="s">
        <v>95</v>
      </c>
      <c r="E2" s="80" t="s">
        <v>96</v>
      </c>
      <c r="F2" s="80" t="s">
        <v>97</v>
      </c>
      <c r="G2" s="5"/>
      <c r="H2" s="5"/>
      <c r="I2" s="5"/>
      <c r="J2" s="5"/>
      <c r="K2" s="5"/>
      <c r="L2" s="5"/>
      <c r="M2" s="5"/>
      <c r="N2" s="5"/>
      <c r="O2" s="5"/>
      <c r="P2" s="5"/>
      <c r="Q2" s="5"/>
      <c r="R2" s="5"/>
      <c r="S2" s="5"/>
      <c r="T2" s="5"/>
      <c r="U2" s="5"/>
      <c r="V2" s="5"/>
      <c r="W2" s="5"/>
      <c r="X2" s="5"/>
      <c r="Y2" s="5"/>
      <c r="Z2" s="5"/>
      <c r="AA2" s="5"/>
      <c r="AB2" s="5"/>
      <c r="AC2" s="5"/>
    </row>
    <row r="3" spans="1:29" ht="29.25" customHeight="1" x14ac:dyDescent="0.25">
      <c r="A3" s="5"/>
      <c r="B3" s="81" t="s">
        <v>40</v>
      </c>
      <c r="C3" s="79">
        <f>COUNTIFS(SuccessCriteria!B2:B48,"="&amp;B3,SuccessCriteria!F2:F48,1)</f>
        <v>6</v>
      </c>
      <c r="D3" s="79">
        <f t="shared" ref="D3:D7" si="0">E3-C3</f>
        <v>2</v>
      </c>
      <c r="E3" s="88">
        <v>8</v>
      </c>
      <c r="F3" s="83">
        <f>C3/E3</f>
        <v>0.75</v>
      </c>
      <c r="G3" s="5"/>
      <c r="H3" s="5"/>
      <c r="I3" s="5"/>
      <c r="J3" s="5"/>
      <c r="K3" s="5"/>
      <c r="L3" s="5"/>
      <c r="M3" s="5"/>
      <c r="N3" s="5"/>
      <c r="O3" s="5"/>
      <c r="P3" s="5"/>
      <c r="Q3" s="5"/>
      <c r="R3" s="5"/>
      <c r="S3" s="5"/>
      <c r="T3" s="5"/>
      <c r="U3" s="5"/>
      <c r="V3" s="5"/>
      <c r="W3" s="5"/>
      <c r="X3" s="5"/>
      <c r="Y3" s="5"/>
      <c r="Z3" s="5"/>
      <c r="AA3" s="5"/>
      <c r="AB3" s="5"/>
      <c r="AC3" s="5"/>
    </row>
    <row r="4" spans="1:29" ht="27" customHeight="1" x14ac:dyDescent="0.25">
      <c r="A4" s="5"/>
      <c r="B4" s="81" t="s">
        <v>50</v>
      </c>
      <c r="C4" s="79">
        <f>COUNTIFS(SuccessCriteria!B3:B49,"="&amp;B4,SuccessCriteria!F3:F49,1)</f>
        <v>15</v>
      </c>
      <c r="D4" s="79">
        <f t="shared" si="0"/>
        <v>2</v>
      </c>
      <c r="E4" s="88">
        <v>17</v>
      </c>
      <c r="F4" s="83">
        <f t="shared" ref="F4:F8" si="1">C4/E4</f>
        <v>0.88235294117647056</v>
      </c>
      <c r="G4" s="5"/>
      <c r="H4" s="5"/>
      <c r="I4" s="5"/>
      <c r="J4" s="5"/>
      <c r="K4" s="5"/>
      <c r="L4" s="5"/>
      <c r="M4" s="5"/>
      <c r="N4" s="5"/>
      <c r="O4" s="5"/>
      <c r="P4" s="5"/>
      <c r="Q4" s="5"/>
      <c r="R4" s="5"/>
      <c r="S4" s="5"/>
      <c r="T4" s="5"/>
      <c r="U4" s="5"/>
      <c r="V4" s="5"/>
      <c r="W4" s="5"/>
      <c r="X4" s="5"/>
      <c r="Y4" s="5"/>
      <c r="Z4" s="5"/>
      <c r="AA4" s="5"/>
      <c r="AB4" s="5"/>
      <c r="AC4" s="5"/>
    </row>
    <row r="5" spans="1:29" ht="15" x14ac:dyDescent="0.25">
      <c r="A5" s="5"/>
      <c r="B5" s="81" t="s">
        <v>68</v>
      </c>
      <c r="C5" s="79">
        <f>COUNTIFS(SuccessCriteria!B4:B50,"="&amp;B5,SuccessCriteria!F4:F50,1)</f>
        <v>8</v>
      </c>
      <c r="D5" s="79">
        <f t="shared" si="0"/>
        <v>1</v>
      </c>
      <c r="E5" s="88">
        <v>9</v>
      </c>
      <c r="F5" s="83">
        <f t="shared" si="1"/>
        <v>0.88888888888888884</v>
      </c>
      <c r="G5" s="5"/>
      <c r="H5" s="5"/>
      <c r="I5" s="5"/>
      <c r="J5" s="5"/>
      <c r="K5" s="5"/>
      <c r="L5" s="5"/>
      <c r="M5" s="5"/>
      <c r="N5" s="5"/>
      <c r="O5" s="5"/>
      <c r="P5" s="5"/>
      <c r="Q5" s="5"/>
      <c r="R5" s="5"/>
      <c r="S5" s="5"/>
      <c r="T5" s="5"/>
      <c r="U5" s="5"/>
      <c r="V5" s="5"/>
      <c r="W5" s="5"/>
      <c r="X5" s="5"/>
      <c r="Y5" s="5"/>
      <c r="Z5" s="5"/>
      <c r="AA5" s="5"/>
      <c r="AB5" s="5"/>
      <c r="AC5" s="5"/>
    </row>
    <row r="6" spans="1:29" ht="15" x14ac:dyDescent="0.25">
      <c r="A6" s="5"/>
      <c r="B6" s="81" t="s">
        <v>78</v>
      </c>
      <c r="C6" s="79">
        <f>COUNTIFS(SuccessCriteria!B5:B51,"="&amp;B6,SuccessCriteria!F5:F51,1)</f>
        <v>4</v>
      </c>
      <c r="D6" s="79">
        <f t="shared" si="0"/>
        <v>3</v>
      </c>
      <c r="E6" s="88">
        <v>7</v>
      </c>
      <c r="F6" s="83">
        <f t="shared" si="1"/>
        <v>0.5714285714285714</v>
      </c>
      <c r="G6" s="5"/>
      <c r="H6" s="5"/>
      <c r="I6" s="5"/>
      <c r="J6" s="5"/>
      <c r="K6" s="5"/>
      <c r="L6" s="5"/>
      <c r="M6" s="5"/>
      <c r="N6" s="5"/>
      <c r="O6" s="5"/>
      <c r="P6" s="5"/>
      <c r="Q6" s="5"/>
      <c r="R6" s="5"/>
      <c r="S6" s="5"/>
      <c r="T6" s="5"/>
      <c r="U6" s="5"/>
      <c r="V6" s="5"/>
      <c r="W6" s="5"/>
      <c r="X6" s="5"/>
      <c r="Y6" s="5"/>
      <c r="Z6" s="5"/>
      <c r="AA6" s="5"/>
      <c r="AB6" s="5"/>
      <c r="AC6" s="5"/>
    </row>
    <row r="7" spans="1:29" ht="15" x14ac:dyDescent="0.25">
      <c r="A7" s="5"/>
      <c r="B7" s="81" t="s">
        <v>86</v>
      </c>
      <c r="C7" s="79">
        <f>COUNTIFS(SuccessCriteria!B6:B52,"="&amp;B7,SuccessCriteria!F6:F52,1)</f>
        <v>6</v>
      </c>
      <c r="D7" s="79">
        <f t="shared" si="0"/>
        <v>0</v>
      </c>
      <c r="E7" s="88">
        <v>6</v>
      </c>
      <c r="F7" s="83">
        <f t="shared" si="1"/>
        <v>1</v>
      </c>
      <c r="G7" s="5"/>
      <c r="H7" s="5"/>
      <c r="I7" s="5"/>
      <c r="J7" s="5"/>
      <c r="K7" s="5"/>
      <c r="L7" s="5"/>
      <c r="M7" s="5"/>
      <c r="N7" s="5"/>
      <c r="O7" s="5"/>
      <c r="P7" s="5"/>
      <c r="Q7" s="5"/>
      <c r="R7" s="5"/>
      <c r="S7" s="5"/>
      <c r="T7" s="5"/>
      <c r="U7" s="5"/>
      <c r="V7" s="5"/>
      <c r="W7" s="5"/>
      <c r="X7" s="5"/>
      <c r="Y7" s="5"/>
      <c r="Z7" s="5"/>
      <c r="AA7" s="5"/>
      <c r="AB7" s="5"/>
      <c r="AC7" s="5"/>
    </row>
    <row r="8" spans="1:29" ht="15" x14ac:dyDescent="0.25">
      <c r="A8" s="5"/>
      <c r="B8" s="84" t="s">
        <v>98</v>
      </c>
      <c r="C8" s="85">
        <f>SUM(C3:C7)</f>
        <v>39</v>
      </c>
      <c r="D8" s="85">
        <f>SUM(D3:D7)</f>
        <v>8</v>
      </c>
      <c r="E8" s="85">
        <f>SUM(E3:E7)</f>
        <v>47</v>
      </c>
      <c r="F8" s="83">
        <f t="shared" si="1"/>
        <v>0.82978723404255317</v>
      </c>
      <c r="G8" s="5"/>
      <c r="H8" s="5"/>
      <c r="I8" s="5"/>
      <c r="J8" s="5"/>
      <c r="K8" s="5"/>
      <c r="L8" s="5"/>
      <c r="M8" s="5"/>
      <c r="N8" s="5"/>
      <c r="O8" s="5"/>
      <c r="P8" s="5"/>
      <c r="Q8" s="5"/>
      <c r="R8" s="5"/>
      <c r="S8" s="5"/>
      <c r="T8" s="5"/>
      <c r="U8" s="5"/>
      <c r="V8" s="5"/>
      <c r="W8" s="5"/>
      <c r="X8" s="5"/>
      <c r="Y8" s="5"/>
      <c r="Z8" s="5"/>
      <c r="AA8" s="5"/>
      <c r="AB8" s="5"/>
      <c r="AC8" s="5"/>
    </row>
    <row r="9" spans="1:29" ht="15" x14ac:dyDescent="0.25">
      <c r="A9" s="5"/>
      <c r="B9" s="86"/>
      <c r="C9" s="86"/>
      <c r="D9" s="86"/>
      <c r="E9" s="86"/>
      <c r="F9" s="86"/>
      <c r="G9" s="5"/>
      <c r="H9" s="5"/>
      <c r="I9" s="5"/>
      <c r="J9" s="5"/>
      <c r="K9" s="5"/>
      <c r="L9" s="5"/>
      <c r="M9" s="5"/>
      <c r="N9" s="5"/>
      <c r="O9" s="5"/>
      <c r="P9" s="5"/>
      <c r="Q9" s="5"/>
      <c r="R9" s="5"/>
      <c r="S9" s="5"/>
      <c r="T9" s="5"/>
      <c r="U9" s="5"/>
      <c r="V9" s="5"/>
      <c r="W9" s="5"/>
      <c r="X9" s="5"/>
      <c r="Y9" s="5"/>
      <c r="Z9" s="5"/>
      <c r="AA9" s="5"/>
      <c r="AB9" s="5"/>
      <c r="AC9" s="5"/>
    </row>
    <row r="10" spans="1:29" ht="15" x14ac:dyDescent="0.25">
      <c r="A10" s="5"/>
      <c r="B10" s="86"/>
      <c r="C10" s="86"/>
      <c r="D10" s="86"/>
      <c r="E10" s="86"/>
      <c r="F10" s="86"/>
      <c r="G10" s="5"/>
      <c r="H10" s="5"/>
      <c r="I10" s="5"/>
      <c r="J10" s="5"/>
      <c r="K10" s="5"/>
      <c r="L10" s="5"/>
      <c r="M10" s="5"/>
      <c r="N10" s="5"/>
      <c r="O10" s="5"/>
      <c r="P10" s="5"/>
      <c r="Q10" s="5"/>
      <c r="R10" s="5"/>
      <c r="S10" s="5"/>
      <c r="T10" s="5"/>
      <c r="U10" s="5"/>
      <c r="V10" s="5"/>
      <c r="W10" s="5"/>
      <c r="X10" s="5"/>
      <c r="Y10" s="5"/>
      <c r="Z10" s="5"/>
      <c r="AA10" s="5"/>
      <c r="AB10" s="5"/>
      <c r="AC10" s="5"/>
    </row>
    <row r="11" spans="1:29" ht="15" x14ac:dyDescent="0.25">
      <c r="A11" s="5"/>
      <c r="B11" s="86"/>
      <c r="C11" s="86"/>
      <c r="D11" s="86"/>
      <c r="E11" s="86"/>
      <c r="F11" s="86"/>
      <c r="G11" s="5"/>
      <c r="H11" s="5"/>
      <c r="I11" s="5"/>
      <c r="J11" s="5"/>
      <c r="K11" s="5"/>
      <c r="L11" s="5"/>
      <c r="M11" s="5"/>
      <c r="N11" s="5"/>
      <c r="O11" s="5"/>
      <c r="P11" s="5"/>
      <c r="Q11" s="5"/>
      <c r="R11" s="5"/>
      <c r="S11" s="5"/>
      <c r="T11" s="5"/>
      <c r="U11" s="5"/>
      <c r="V11" s="5"/>
      <c r="W11" s="5"/>
      <c r="X11" s="5"/>
      <c r="Y11" s="5"/>
      <c r="Z11" s="5"/>
      <c r="AA11" s="5"/>
      <c r="AB11" s="5"/>
      <c r="AC11" s="5"/>
    </row>
    <row r="12" spans="1:29" ht="15" x14ac:dyDescent="0.25">
      <c r="A12" s="5"/>
      <c r="B12" s="86"/>
      <c r="C12" s="86"/>
      <c r="D12" s="86"/>
      <c r="E12" s="86"/>
      <c r="F12" s="86"/>
      <c r="G12" s="5"/>
      <c r="H12" s="5"/>
      <c r="I12" s="5"/>
      <c r="J12" s="5"/>
      <c r="K12" s="5"/>
      <c r="L12" s="5"/>
      <c r="M12" s="5"/>
      <c r="N12" s="5"/>
      <c r="O12" s="5"/>
      <c r="P12" s="5"/>
      <c r="Q12" s="5"/>
      <c r="R12" s="5"/>
      <c r="S12" s="5"/>
      <c r="T12" s="5"/>
      <c r="U12" s="5"/>
      <c r="V12" s="5"/>
      <c r="W12" s="5"/>
      <c r="X12" s="5"/>
      <c r="Y12" s="5"/>
      <c r="Z12" s="5"/>
      <c r="AA12" s="5"/>
      <c r="AB12" s="5"/>
      <c r="AC12" s="5"/>
    </row>
    <row r="13" spans="1:29" ht="15" x14ac:dyDescent="0.25">
      <c r="A13" s="5"/>
      <c r="B13" s="86"/>
      <c r="C13" s="86"/>
      <c r="D13" s="86"/>
      <c r="E13" s="86"/>
      <c r="F13" s="86"/>
      <c r="G13" s="5"/>
      <c r="H13" s="5"/>
      <c r="I13" s="5"/>
      <c r="J13" s="5"/>
      <c r="K13" s="5"/>
      <c r="L13" s="5"/>
      <c r="M13" s="5"/>
      <c r="N13" s="5"/>
      <c r="O13" s="5"/>
      <c r="P13" s="5"/>
      <c r="Q13" s="5"/>
      <c r="R13" s="5"/>
      <c r="S13" s="5"/>
      <c r="T13" s="5"/>
      <c r="U13" s="5"/>
      <c r="V13" s="5"/>
      <c r="W13" s="5"/>
      <c r="X13" s="5"/>
      <c r="Y13" s="5"/>
      <c r="Z13" s="5"/>
      <c r="AA13" s="5"/>
      <c r="AB13" s="5"/>
      <c r="AC13" s="5"/>
    </row>
    <row r="14" spans="1:29" ht="15" x14ac:dyDescent="0.25">
      <c r="A14" s="5"/>
      <c r="B14" s="86"/>
      <c r="C14" s="86"/>
      <c r="D14" s="86"/>
      <c r="E14" s="86"/>
      <c r="F14" s="86"/>
      <c r="G14" s="5"/>
      <c r="H14" s="5"/>
      <c r="I14" s="5"/>
      <c r="J14" s="5"/>
      <c r="K14" s="5"/>
      <c r="L14" s="5"/>
      <c r="M14" s="5"/>
      <c r="N14" s="5"/>
      <c r="O14" s="5"/>
      <c r="P14" s="5"/>
      <c r="Q14" s="5"/>
      <c r="R14" s="5"/>
      <c r="S14" s="5"/>
      <c r="T14" s="5"/>
      <c r="U14" s="5"/>
      <c r="V14" s="5"/>
      <c r="W14" s="5"/>
      <c r="X14" s="5"/>
      <c r="Y14" s="5"/>
      <c r="Z14" s="5"/>
      <c r="AA14" s="5"/>
      <c r="AB14" s="5"/>
      <c r="AC14" s="5"/>
    </row>
    <row r="15" spans="1:29" ht="15" x14ac:dyDescent="0.25">
      <c r="A15" s="5"/>
      <c r="B15" s="86"/>
      <c r="C15" s="86"/>
      <c r="D15" s="86"/>
      <c r="E15" s="86"/>
      <c r="F15" s="86"/>
      <c r="G15" s="5"/>
      <c r="H15" s="5"/>
      <c r="I15" s="5"/>
      <c r="J15" s="5"/>
      <c r="K15" s="5"/>
      <c r="L15" s="5"/>
      <c r="M15" s="5"/>
      <c r="N15" s="5"/>
      <c r="O15" s="5"/>
      <c r="P15" s="5"/>
      <c r="Q15" s="5"/>
      <c r="R15" s="5"/>
      <c r="S15" s="5"/>
      <c r="T15" s="5"/>
      <c r="U15" s="5"/>
      <c r="V15" s="5"/>
      <c r="W15" s="5"/>
      <c r="X15" s="5"/>
      <c r="Y15" s="5"/>
      <c r="Z15" s="5"/>
      <c r="AA15" s="5"/>
      <c r="AB15" s="5"/>
      <c r="AC15" s="5"/>
    </row>
    <row r="16" spans="1:29" ht="15" x14ac:dyDescent="0.25">
      <c r="A16" s="5"/>
      <c r="B16" s="86"/>
      <c r="C16" s="86"/>
      <c r="D16" s="86"/>
      <c r="E16" s="86"/>
      <c r="F16" s="86"/>
      <c r="G16" s="5"/>
      <c r="H16" s="5"/>
      <c r="I16" s="5"/>
      <c r="J16" s="5"/>
      <c r="K16" s="5"/>
      <c r="L16" s="5"/>
      <c r="M16" s="5"/>
      <c r="N16" s="5"/>
      <c r="O16" s="5"/>
      <c r="P16" s="5"/>
      <c r="Q16" s="5"/>
      <c r="R16" s="5"/>
      <c r="S16" s="5"/>
      <c r="T16" s="5"/>
      <c r="U16" s="5"/>
      <c r="V16" s="5"/>
      <c r="W16" s="5"/>
      <c r="X16" s="5"/>
      <c r="Y16" s="5"/>
      <c r="Z16" s="5"/>
      <c r="AA16" s="5"/>
      <c r="AB16" s="5"/>
      <c r="AC16" s="5"/>
    </row>
    <row r="17" spans="1:29" ht="15" x14ac:dyDescent="0.25">
      <c r="A17" s="5"/>
      <c r="B17" s="86"/>
      <c r="C17" s="86"/>
      <c r="D17" s="86"/>
      <c r="E17" s="86"/>
      <c r="F17" s="86"/>
      <c r="G17" s="5"/>
      <c r="H17" s="5"/>
      <c r="I17" s="5"/>
      <c r="J17" s="5"/>
      <c r="K17" s="5"/>
      <c r="L17" s="5"/>
      <c r="M17" s="5"/>
      <c r="N17" s="5"/>
      <c r="O17" s="5"/>
      <c r="P17" s="5"/>
      <c r="Q17" s="5"/>
      <c r="R17" s="5"/>
      <c r="S17" s="5"/>
      <c r="T17" s="5"/>
      <c r="U17" s="5"/>
      <c r="V17" s="5"/>
      <c r="W17" s="5"/>
      <c r="X17" s="5"/>
      <c r="Y17" s="5"/>
      <c r="Z17" s="5"/>
      <c r="AA17" s="5"/>
      <c r="AB17" s="5"/>
      <c r="AC17" s="5"/>
    </row>
    <row r="18" spans="1:29" ht="15" x14ac:dyDescent="0.25">
      <c r="A18" s="5"/>
      <c r="B18" s="86"/>
      <c r="C18" s="86"/>
      <c r="D18" s="86"/>
      <c r="E18" s="86"/>
      <c r="F18" s="86"/>
      <c r="G18" s="5"/>
      <c r="H18" s="5"/>
      <c r="I18" s="5"/>
      <c r="J18" s="5"/>
      <c r="K18" s="5"/>
      <c r="L18" s="5"/>
      <c r="M18" s="5"/>
      <c r="N18" s="5"/>
      <c r="O18" s="5"/>
      <c r="P18" s="5"/>
      <c r="Q18" s="5"/>
      <c r="R18" s="5"/>
      <c r="S18" s="5"/>
      <c r="T18" s="5"/>
      <c r="U18" s="5"/>
      <c r="V18" s="5"/>
      <c r="W18" s="5"/>
      <c r="X18" s="5"/>
      <c r="Y18" s="5"/>
      <c r="Z18" s="5"/>
      <c r="AA18" s="5"/>
      <c r="AB18" s="5"/>
      <c r="AC18" s="5"/>
    </row>
    <row r="19" spans="1:29" ht="15" x14ac:dyDescent="0.25">
      <c r="A19" s="5"/>
      <c r="B19" s="86"/>
      <c r="C19" s="86"/>
      <c r="D19" s="86"/>
      <c r="E19" s="86"/>
      <c r="F19" s="86"/>
      <c r="G19" s="5"/>
      <c r="H19" s="5"/>
      <c r="I19" s="5"/>
      <c r="J19" s="5"/>
      <c r="K19" s="5"/>
      <c r="L19" s="5"/>
      <c r="M19" s="5"/>
      <c r="N19" s="5"/>
      <c r="O19" s="5"/>
      <c r="P19" s="5"/>
      <c r="Q19" s="5"/>
      <c r="R19" s="5"/>
      <c r="S19" s="5"/>
      <c r="T19" s="5"/>
      <c r="U19" s="5"/>
      <c r="V19" s="5"/>
      <c r="W19" s="5"/>
      <c r="X19" s="5"/>
      <c r="Y19" s="5"/>
      <c r="Z19" s="5"/>
      <c r="AA19" s="5"/>
      <c r="AB19" s="5"/>
      <c r="AC19" s="5"/>
    </row>
    <row r="20" spans="1:29" ht="15" x14ac:dyDescent="0.25">
      <c r="A20" s="5"/>
      <c r="B20" s="86"/>
      <c r="C20" s="86"/>
      <c r="D20" s="86"/>
      <c r="E20" s="86"/>
      <c r="F20" s="86"/>
      <c r="G20" s="5"/>
      <c r="H20" s="5"/>
      <c r="I20" s="5"/>
      <c r="J20" s="5"/>
      <c r="K20" s="5"/>
      <c r="L20" s="5"/>
      <c r="M20" s="5"/>
      <c r="N20" s="5"/>
      <c r="O20" s="5"/>
      <c r="P20" s="5"/>
      <c r="Q20" s="5"/>
      <c r="R20" s="5"/>
      <c r="S20" s="5"/>
      <c r="T20" s="5"/>
      <c r="U20" s="5"/>
      <c r="V20" s="5"/>
      <c r="W20" s="5"/>
      <c r="X20" s="5"/>
      <c r="Y20" s="5"/>
      <c r="Z20" s="5"/>
      <c r="AA20" s="5"/>
      <c r="AB20" s="5"/>
      <c r="AC20" s="5"/>
    </row>
    <row r="21" spans="1:29" ht="15" x14ac:dyDescent="0.25">
      <c r="A21" s="5"/>
      <c r="B21" s="86"/>
      <c r="C21" s="86"/>
      <c r="D21" s="86"/>
      <c r="E21" s="86"/>
      <c r="F21" s="86"/>
      <c r="G21" s="5"/>
      <c r="H21" s="5"/>
      <c r="I21" s="5"/>
      <c r="J21" s="5"/>
      <c r="K21" s="5"/>
      <c r="L21" s="5"/>
      <c r="M21" s="5"/>
      <c r="N21" s="5"/>
      <c r="O21" s="5"/>
      <c r="P21" s="5"/>
      <c r="Q21" s="5"/>
      <c r="R21" s="5"/>
      <c r="S21" s="5"/>
      <c r="T21" s="5"/>
      <c r="U21" s="5"/>
      <c r="V21" s="5"/>
      <c r="W21" s="5"/>
      <c r="X21" s="5"/>
      <c r="Y21" s="5"/>
      <c r="Z21" s="5"/>
      <c r="AA21" s="5"/>
      <c r="AB21" s="5"/>
      <c r="AC21" s="5"/>
    </row>
    <row r="22" spans="1:29" ht="15" x14ac:dyDescent="0.25">
      <c r="A22" s="5"/>
      <c r="B22" s="86"/>
      <c r="C22" s="86"/>
      <c r="D22" s="86"/>
      <c r="E22" s="86"/>
      <c r="F22" s="86"/>
      <c r="G22" s="5"/>
      <c r="H22" s="5"/>
      <c r="I22" s="5"/>
      <c r="J22" s="5"/>
      <c r="K22" s="5"/>
      <c r="L22" s="5"/>
      <c r="M22" s="5"/>
      <c r="N22" s="5"/>
      <c r="O22" s="5"/>
      <c r="P22" s="5"/>
      <c r="Q22" s="5"/>
      <c r="R22" s="5"/>
      <c r="S22" s="5"/>
      <c r="T22" s="5"/>
      <c r="U22" s="5"/>
      <c r="V22" s="5"/>
      <c r="W22" s="5"/>
      <c r="X22" s="5"/>
      <c r="Y22" s="5"/>
      <c r="Z22" s="5"/>
      <c r="AA22" s="5"/>
      <c r="AB22" s="5"/>
      <c r="AC22" s="5"/>
    </row>
    <row r="23" spans="1:29" ht="15" x14ac:dyDescent="0.25">
      <c r="A23" s="5"/>
      <c r="B23" s="86"/>
      <c r="C23" s="86"/>
      <c r="D23" s="86"/>
      <c r="E23" s="86"/>
      <c r="F23" s="86"/>
      <c r="G23" s="5"/>
      <c r="H23" s="5"/>
      <c r="I23" s="5"/>
      <c r="J23" s="5"/>
      <c r="K23" s="5"/>
      <c r="L23" s="5"/>
      <c r="M23" s="5"/>
      <c r="N23" s="5"/>
      <c r="O23" s="5"/>
      <c r="P23" s="5"/>
      <c r="Q23" s="5"/>
      <c r="R23" s="5"/>
      <c r="S23" s="5"/>
      <c r="T23" s="5"/>
      <c r="U23" s="5"/>
      <c r="V23" s="5"/>
      <c r="W23" s="5"/>
      <c r="X23" s="5"/>
      <c r="Y23" s="5"/>
      <c r="Z23" s="5"/>
      <c r="AA23" s="5"/>
      <c r="AB23" s="5"/>
      <c r="AC23" s="5"/>
    </row>
    <row r="24" spans="1:29" ht="15" x14ac:dyDescent="0.25">
      <c r="A24" s="5"/>
      <c r="B24" s="86"/>
      <c r="C24" s="86"/>
      <c r="D24" s="86"/>
      <c r="E24" s="86"/>
      <c r="F24" s="86"/>
      <c r="G24" s="5"/>
      <c r="H24" s="5"/>
      <c r="I24" s="5"/>
      <c r="J24" s="5"/>
      <c r="K24" s="5"/>
      <c r="L24" s="5"/>
      <c r="M24" s="5"/>
      <c r="N24" s="5"/>
      <c r="O24" s="5"/>
      <c r="P24" s="5"/>
      <c r="Q24" s="5"/>
      <c r="R24" s="5"/>
      <c r="S24" s="5"/>
      <c r="T24" s="5"/>
      <c r="U24" s="5"/>
      <c r="V24" s="5"/>
      <c r="W24" s="5"/>
      <c r="X24" s="5"/>
      <c r="Y24" s="5"/>
      <c r="Z24" s="5"/>
      <c r="AA24" s="5"/>
      <c r="AB24" s="5"/>
      <c r="AC24" s="5"/>
    </row>
    <row r="25" spans="1:29" ht="15" x14ac:dyDescent="0.25">
      <c r="A25" s="5"/>
      <c r="B25" s="86"/>
      <c r="C25" s="86"/>
      <c r="D25" s="86"/>
      <c r="E25" s="86"/>
      <c r="F25" s="87" t="s">
        <v>100</v>
      </c>
      <c r="G25" s="5"/>
      <c r="H25" s="5"/>
      <c r="I25" s="5"/>
      <c r="J25" s="5"/>
      <c r="K25" s="5"/>
      <c r="L25" s="5"/>
      <c r="M25" s="5"/>
      <c r="N25" s="5"/>
      <c r="O25" s="5"/>
      <c r="P25" s="5"/>
      <c r="Q25" s="5"/>
      <c r="R25" s="5"/>
      <c r="S25" s="5"/>
      <c r="T25" s="5"/>
      <c r="U25" s="5"/>
      <c r="V25" s="5"/>
      <c r="W25" s="5"/>
      <c r="X25" s="5"/>
      <c r="Y25" s="5"/>
      <c r="Z25" s="5"/>
      <c r="AA25" s="5"/>
      <c r="AB25" s="5"/>
      <c r="AC25" s="5"/>
    </row>
    <row r="26" spans="1:29" ht="15"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ht="15"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ht="15"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ht="15"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ht="15"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ht="15"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ht="15"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29" ht="15"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ht="15"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ht="15"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ht="15"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ht="15"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29" ht="15"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spans="1:29" ht="15"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ht="15"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ht="15"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ht="15"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ht="15"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ht="15"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ht="15"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ht="15"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spans="1:29" ht="15"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spans="1:29" ht="15" x14ac:dyDescent="0.25">
      <c r="A48" s="5"/>
      <c r="G48" s="5"/>
      <c r="H48" s="5"/>
      <c r="I48" s="5"/>
      <c r="J48" s="5"/>
      <c r="K48" s="5"/>
      <c r="L48" s="5"/>
      <c r="M48" s="5"/>
      <c r="N48" s="5"/>
      <c r="O48" s="5"/>
      <c r="P48" s="5"/>
      <c r="Q48" s="5"/>
      <c r="R48" s="5"/>
      <c r="S48" s="5"/>
      <c r="T48" s="5"/>
      <c r="U48" s="5"/>
      <c r="V48" s="5"/>
      <c r="W48" s="5"/>
      <c r="X48" s="5"/>
      <c r="Y48" s="5"/>
      <c r="Z48" s="5"/>
      <c r="AA48" s="5"/>
      <c r="AB48" s="5"/>
      <c r="AC48" s="5"/>
    </row>
  </sheetData>
  <sheetProtection algorithmName="SHA-512" hashValue="moN40WChVyGveaOvbPLJYpVJEr1aT9zqVQ5dSN3GhEV+sf3USqUa64gYCcU54kPvZ6oa1+A7M94YIB1o5+zDYg==" saltValue="TjwRMxuQja/GELtBzMH1/A==" spinCount="100000" sheet="1" scenarios="1" sort="0"/>
  <mergeCells count="1">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9"/>
  <sheetViews>
    <sheetView zoomScaleNormal="100" workbookViewId="0">
      <selection activeCell="G9" sqref="G9"/>
    </sheetView>
  </sheetViews>
  <sheetFormatPr defaultRowHeight="14.45" customHeight="1" x14ac:dyDescent="0.25"/>
  <cols>
    <col min="1" max="1" width="9.140625" style="89" customWidth="1"/>
    <col min="3" max="3" width="11.7109375" customWidth="1"/>
    <col min="4" max="4" width="17.7109375" customWidth="1"/>
    <col min="7" max="7" width="16.42578125" customWidth="1"/>
    <col min="8" max="8" width="13.7109375" customWidth="1"/>
    <col min="13" max="13" width="13.28515625" customWidth="1"/>
  </cols>
  <sheetData>
    <row r="1" spans="2:10" x14ac:dyDescent="0.25">
      <c r="B1" s="90" t="s">
        <v>101</v>
      </c>
      <c r="C1" s="91"/>
      <c r="D1" s="91"/>
    </row>
    <row r="2" spans="2:10" x14ac:dyDescent="0.25">
      <c r="B2" s="44"/>
      <c r="C2" s="44">
        <f>Cover!D11</f>
        <v>100</v>
      </c>
      <c r="D2" s="44"/>
    </row>
    <row r="3" spans="2:10" x14ac:dyDescent="0.25">
      <c r="B3" s="92">
        <v>0.49</v>
      </c>
      <c r="C3" s="93">
        <v>-100</v>
      </c>
      <c r="D3" s="44" t="s">
        <v>102</v>
      </c>
      <c r="H3">
        <v>56</v>
      </c>
      <c r="I3">
        <v>29</v>
      </c>
      <c r="J3">
        <f>(H3-I3)*16/56</f>
        <v>7.7142857142857144</v>
      </c>
    </row>
    <row r="4" spans="2:10" x14ac:dyDescent="0.25">
      <c r="B4" s="92">
        <v>0.62</v>
      </c>
      <c r="C4" s="93">
        <f>ROUNDDOWN($C$2*B3+1,0)</f>
        <v>50</v>
      </c>
      <c r="D4" s="44" t="s">
        <v>103</v>
      </c>
      <c r="H4">
        <f>H3/2</f>
        <v>28</v>
      </c>
    </row>
    <row r="5" spans="2:10" x14ac:dyDescent="0.25">
      <c r="B5" s="92">
        <v>0.75</v>
      </c>
      <c r="C5" s="93">
        <f>ROUNDDOWN($C$2*B4+1,0)</f>
        <v>63</v>
      </c>
      <c r="D5" s="44" t="s">
        <v>104</v>
      </c>
    </row>
    <row r="6" spans="2:10" x14ac:dyDescent="0.25">
      <c r="B6" s="92">
        <v>0.88</v>
      </c>
      <c r="C6" s="93">
        <f>ROUNDDOWN($C$2*B5+1,0)</f>
        <v>76</v>
      </c>
      <c r="D6" s="44" t="s">
        <v>105</v>
      </c>
    </row>
    <row r="7" spans="2:10" x14ac:dyDescent="0.25">
      <c r="B7" s="92">
        <v>1</v>
      </c>
      <c r="C7" s="93">
        <f>ROUNDDOWN($C$2*B6+1,0)</f>
        <v>89</v>
      </c>
      <c r="D7" s="44" t="s">
        <v>106</v>
      </c>
    </row>
    <row r="8" spans="2:10" x14ac:dyDescent="0.25">
      <c r="D8" s="94"/>
    </row>
    <row r="9" spans="2:10" x14ac:dyDescent="0.25">
      <c r="D9" t="b">
        <v>1</v>
      </c>
    </row>
    <row r="10" spans="2:10" x14ac:dyDescent="0.25">
      <c r="D10" t="b">
        <v>0</v>
      </c>
    </row>
    <row r="19" spans="2:2" x14ac:dyDescent="0.25">
      <c r="B19" s="30"/>
    </row>
  </sheetData>
  <sheetProtection algorithmName="SHA-512" hashValue="QgpMye8qQlzztmELFEM7fsJM6r/KLSbN0ZjcYaMmfhh3X8KF6BwzUV4CB4TgAj+5wnlaWFH8V5jo/oHPyG0EIw==" saltValue="crrLCZD1R6YW5YRY03Ihlg==" spinCount="100000" sheet="1" scenarios="1" sort="0"/>
  <pageMargins left="0.7" right="0.7" top="0.75" bottom="0.75" header="0.3" footer="0.3"/>
  <pageSetup paperSize="9" orientation="portrait" useFirstPageNumber="1" horizontalDpi="4294967293"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Munkalapok</vt:lpstr>
      </vt:variant>
      <vt:variant>
        <vt:i4>5</vt:i4>
      </vt:variant>
      <vt:variant>
        <vt:lpstr>Névvel ellátott tartományok</vt:lpstr>
      </vt:variant>
      <vt:variant>
        <vt:i4>2</vt:i4>
      </vt:variant>
    </vt:vector>
  </HeadingPairs>
  <TitlesOfParts>
    <vt:vector size="7" baseType="lpstr">
      <vt:lpstr>Cover</vt:lpstr>
      <vt:lpstr>SuccessCriteria</vt:lpstr>
      <vt:lpstr>Statistics (self check)</vt:lpstr>
      <vt:lpstr>Statistics (tutor)</vt:lpstr>
      <vt:lpstr>Ponthatárok</vt:lpstr>
      <vt:lpstr>_FilterDatabase</vt:lpstr>
      <vt:lpstr>nem_modosithato2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2011-03-17T10:44:48Z</dcterms:created>
  <dcterms:modified xsi:type="dcterms:W3CDTF">2025-06-11T21:16:34Z</dcterms:modified>
</cp:coreProperties>
</file>